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orecard" sheetId="1" state="visible" r:id="rId1"/>
    <sheet xmlns:r="http://schemas.openxmlformats.org/officeDocument/2006/relationships" name="Conditions" sheetId="2" state="visible" r:id="rId2"/>
    <sheet xmlns:r="http://schemas.openxmlformats.org/officeDocument/2006/relationships" name="Criteria" sheetId="3" state="visible" r:id="rId3"/>
    <sheet xmlns:r="http://schemas.openxmlformats.org/officeDocument/2006/relationships" name="DateCheck" sheetId="4" state="visible" r:id="rId4"/>
    <sheet xmlns:r="http://schemas.openxmlformats.org/officeDocument/2006/relationships" name="Raw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1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9"/>
    </font>
    <font>
      <name val="Arial"/>
      <i val="1"/>
      <color rgb="007F6000"/>
      <sz val="9"/>
    </font>
    <font>
      <name val="Arial"/>
      <b val="1"/>
    </font>
    <font>
      <name val="Arial"/>
    </font>
    <font>
      <name val="Arial"/>
      <b val="1"/>
      <sz val="9"/>
    </font>
    <font>
      <name val="Arial"/>
      <b val="1"/>
      <color rgb="00FFFFFF"/>
    </font>
    <font>
      <name val="Arial"/>
      <color rgb="000000FF"/>
    </font>
    <font>
      <name val="Arial"/>
      <b val="1"/>
      <sz val="12"/>
    </font>
    <font>
      <name val="Arial"/>
      <sz val="10"/>
    </font>
    <font>
      <name val="Arial"/>
      <i val="1"/>
      <sz val="10"/>
    </font>
    <font>
      <name val="Arial"/>
      <sz val="9"/>
    </font>
    <font>
      <name val="Arial"/>
      <b val="1"/>
      <sz val="13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4E78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0" borderId="0" applyAlignment="1" pivotButton="0" quotePrefix="0" xfId="0">
      <alignment horizontal="center" wrapText="1"/>
    </xf>
    <xf numFmtId="0" fontId="5" fillId="2" borderId="1" pivotButton="0" quotePrefix="0" xfId="0"/>
    <xf numFmtId="0" fontId="7" fillId="3" borderId="1" applyAlignment="1" pivotButton="0" quotePrefix="0" xfId="0">
      <alignment horizontal="center" vertical="center" wrapText="1"/>
    </xf>
    <xf numFmtId="0" fontId="5" fillId="0" borderId="1" pivotButton="0" quotePrefix="0" xfId="0"/>
    <xf numFmtId="164" fontId="5" fillId="0" borderId="1" pivotButton="0" quotePrefix="0" xfId="0"/>
    <xf numFmtId="0" fontId="8" fillId="0" borderId="1" pivotButton="0" quotePrefix="0" xfId="0"/>
    <xf numFmtId="0" fontId="4" fillId="0" borderId="1" pivotButton="0" quotePrefix="0" xfId="0"/>
    <xf numFmtId="0" fontId="5" fillId="4" borderId="1" pivotButton="0" quotePrefix="0" xfId="0"/>
    <xf numFmtId="164" fontId="5" fillId="4" borderId="1" pivotButton="0" quotePrefix="0" xfId="0"/>
    <xf numFmtId="0" fontId="8" fillId="4" borderId="1" pivotButton="0" quotePrefix="0" xfId="0"/>
    <xf numFmtId="0" fontId="4" fillId="4" borderId="1" pivotButton="0" quotePrefix="0" xfId="0"/>
    <xf numFmtId="0" fontId="9" fillId="0" borderId="0" pivotButton="0" quotePrefix="0" xfId="0"/>
    <xf numFmtId="0" fontId="7" fillId="3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5" fillId="0" borderId="1" applyAlignment="1" pivotButton="0" quotePrefix="0" xfId="0">
      <alignment vertical="top" wrapText="1"/>
    </xf>
    <xf numFmtId="0" fontId="7" fillId="3" borderId="1" pivotButton="0" quotePrefix="0" xfId="0"/>
    <xf numFmtId="0" fontId="5" fillId="0" borderId="0" pivotButton="0" quotePrefix="0" xfId="0"/>
    <xf numFmtId="164" fontId="0" fillId="0" borderId="1" pivotButton="0" quotePrefix="0" xfId="0"/>
    <xf numFmtId="0" fontId="7" fillId="3" borderId="0" pivotButton="0" quotePrefix="0" xfId="0"/>
    <xf numFmtId="164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7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22" customWidth="1" min="3" max="3"/>
    <col width="10" customWidth="1" min="4" max="4"/>
    <col width="7" customWidth="1" min="5" max="5"/>
    <col width="10" customWidth="1" min="6" max="6"/>
    <col width="12" customWidth="1" min="7" max="7"/>
    <col width="9" customWidth="1" min="8" max="8"/>
    <col width="10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11" customWidth="1" min="20" max="20"/>
    <col width="6" customWidth="1" min="21" max="21"/>
    <col width="52" customWidth="1" min="22" max="22"/>
  </cols>
  <sheetData>
    <row r="1">
      <c r="A1" s="1" t="inlineStr">
        <is>
          <t>Vacation Scorecard v2 — deep-research edition — DTW, 7 nights, all-inclusive, Aug 8-15 2026</t>
        </is>
      </c>
    </row>
    <row r="2">
      <c r="A2" s="2" t="inlineStr">
        <is>
          <t>v2 adds 8 destinations (20 options) and a 10th criterion: August conditions risk (sargassum seaweed + hurricane + rain), from USF/CSU/NOAA research 2026-07-17. Beach clarity is now scored for AUGUST 2026 SPECIFICALLY - see Conditions tab.</t>
        </is>
      </c>
    </row>
    <row r="3">
      <c r="A3" s="3" t="inlineStr">
        <is>
          <t>LEGEND: Yellow = weights you can change. Blue = judgment scores (1-10) you can override. Black = formulas. The ranking recalculates automatically.</t>
        </is>
      </c>
    </row>
    <row r="5">
      <c r="A5" s="4" t="inlineStr">
        <is>
          <t>Criterion weights (edit the yellow row):</t>
        </is>
      </c>
      <c r="J5" s="5" t="inlineStr">
        <is>
          <t>Price / Value</t>
        </is>
      </c>
      <c r="K5" s="5" t="inlineStr">
        <is>
          <t>Flight time</t>
        </is>
      </c>
      <c r="L5" s="5" t="inlineStr">
        <is>
          <t>Beach clarity (Aug26)</t>
        </is>
      </c>
      <c r="M5" s="5" t="inlineStr">
        <is>
          <t>Romance / AO</t>
        </is>
      </c>
      <c r="N5" s="5" t="inlineStr">
        <is>
          <t>Reviews</t>
        </is>
      </c>
      <c r="O5" s="5" t="inlineStr">
        <is>
          <t>Resort tier</t>
        </is>
      </c>
      <c r="P5" s="5" t="inlineStr">
        <is>
          <t>Date flexibility</t>
        </is>
      </c>
      <c r="Q5" s="5" t="inlineStr">
        <is>
          <t>Transfer ease</t>
        </is>
      </c>
      <c r="R5" s="5" t="inlineStr">
        <is>
          <t>Deal strength</t>
        </is>
      </c>
      <c r="S5" s="5" t="inlineStr">
        <is>
          <t>Aug conditions risk</t>
        </is>
      </c>
    </row>
    <row r="6">
      <c r="J6" s="6" t="n">
        <v>25</v>
      </c>
      <c r="K6" s="6" t="n">
        <v>15</v>
      </c>
      <c r="L6" s="6" t="n">
        <v>15</v>
      </c>
      <c r="M6" s="6" t="n">
        <v>10</v>
      </c>
      <c r="N6" s="6" t="n">
        <v>10</v>
      </c>
      <c r="O6" s="6" t="n">
        <v>10</v>
      </c>
      <c r="P6" s="6" t="n">
        <v>5</v>
      </c>
      <c r="Q6" s="6" t="n">
        <v>5</v>
      </c>
      <c r="R6" s="6" t="n">
        <v>5</v>
      </c>
      <c r="S6" s="6" t="n">
        <v>10</v>
      </c>
    </row>
    <row r="7">
      <c r="A7" s="7" t="inlineStr">
        <is>
          <t>Option</t>
        </is>
      </c>
      <c r="B7" s="7" t="inlineStr">
        <is>
          <t>Resort</t>
        </is>
      </c>
      <c r="C7" s="7" t="inlineStr">
        <is>
          <t>Destination</t>
        </is>
      </c>
      <c r="D7" s="7" t="inlineStr">
        <is>
          <t>Adults-only</t>
        </is>
      </c>
      <c r="E7" s="7" t="inlineStr">
        <is>
          <t>Stars</t>
        </is>
      </c>
      <c r="F7" s="7" t="inlineStr">
        <is>
          <t>Reviews (#)</t>
        </is>
      </c>
      <c r="G7" s="7" t="inlineStr">
        <is>
          <t>Total $ (2 ppl)</t>
        </is>
      </c>
      <c r="H7" s="7" t="inlineStr">
        <is>
          <t>Flight (hrs)</t>
        </is>
      </c>
      <c r="I7" s="7" t="inlineStr">
        <is>
          <t>Transfer (mi)</t>
        </is>
      </c>
      <c r="J7" s="7" t="inlineStr">
        <is>
          <t>Price / Value</t>
        </is>
      </c>
      <c r="K7" s="7" t="inlineStr">
        <is>
          <t>Flight time</t>
        </is>
      </c>
      <c r="L7" s="7" t="inlineStr">
        <is>
          <t>Beach clarity (Aug26)</t>
        </is>
      </c>
      <c r="M7" s="7" t="inlineStr">
        <is>
          <t>Romance / AO</t>
        </is>
      </c>
      <c r="N7" s="7" t="inlineStr">
        <is>
          <t>Reviews</t>
        </is>
      </c>
      <c r="O7" s="7" t="inlineStr">
        <is>
          <t>Resort tier</t>
        </is>
      </c>
      <c r="P7" s="7" t="inlineStr">
        <is>
          <t>Date flexibility</t>
        </is>
      </c>
      <c r="Q7" s="7" t="inlineStr">
        <is>
          <t>Transfer ease</t>
        </is>
      </c>
      <c r="R7" s="7" t="inlineStr">
        <is>
          <t>Deal strength</t>
        </is>
      </c>
      <c r="S7" s="7" t="inlineStr">
        <is>
          <t>Aug conditions risk</t>
        </is>
      </c>
      <c r="T7" s="7" t="inlineStr">
        <is>
          <t>WEIGHTED SCORE</t>
        </is>
      </c>
      <c r="U7" s="7" t="inlineStr">
        <is>
          <t>RANK</t>
        </is>
      </c>
      <c r="V7" s="7" t="inlineStr">
        <is>
          <t>Notes</t>
        </is>
      </c>
    </row>
    <row r="8">
      <c r="A8" s="8" t="n">
        <v>1</v>
      </c>
      <c r="B8" s="8" t="inlineStr">
        <is>
          <t>Riu Latino (Adults Only)</t>
        </is>
      </c>
      <c r="C8" s="8" t="inlineStr">
        <is>
          <t>Costa Mujeres, Cancun</t>
        </is>
      </c>
      <c r="D8" s="8" t="inlineStr">
        <is>
          <t>Y</t>
        </is>
      </c>
      <c r="E8" s="8" t="n">
        <v>4.5</v>
      </c>
      <c r="F8" s="8" t="n">
        <v>2900</v>
      </c>
      <c r="G8" s="9" t="n">
        <v>2412</v>
      </c>
      <c r="H8" s="8" t="n">
        <v>3.75</v>
      </c>
      <c r="I8" s="8" t="n">
        <v>16.8</v>
      </c>
      <c r="J8" s="8">
        <f>ROUND(10*MIN($G$8:$G$27)/G8,1)</f>
        <v/>
      </c>
      <c r="K8" s="8">
        <f>ROUND(10*MIN($H$8:$H$27)/H8,1)</f>
        <v/>
      </c>
      <c r="L8" s="10" t="n">
        <v>7.5</v>
      </c>
      <c r="M8" s="10" t="n">
        <v>9</v>
      </c>
      <c r="N8" s="8">
        <f>MIN(10,ROUND(2*LOG10(F8+1)+2,1))</f>
        <v/>
      </c>
      <c r="O8" s="10" t="n">
        <v>8</v>
      </c>
      <c r="P8" s="10" t="n">
        <v>9</v>
      </c>
      <c r="Q8" s="8">
        <f>ROUND(10*MIN($I$8:$I$27)/I8,1)</f>
        <v/>
      </c>
      <c r="R8" s="10" t="n">
        <v>8</v>
      </c>
      <c r="S8" s="10" t="n">
        <v>7</v>
      </c>
      <c r="T8" s="11">
        <f>ROUND(SUMPRODUCT($J$6:$S$6,J8:S8)/SUM($J$6:$S$6),2)</f>
        <v/>
      </c>
      <c r="U8" s="11">
        <f>RANK(T8,$T$8:$T$27)</f>
        <v/>
      </c>
      <c r="V8" s="8" t="inlineStr">
        <is>
          <t>NW-facing = light sargassum in a record year; best value AO</t>
        </is>
      </c>
    </row>
    <row r="9">
      <c r="A9" s="12" t="n">
        <v>2</v>
      </c>
      <c r="B9" s="12" t="inlineStr">
        <is>
          <t>Secrets Aura Cozumel (Adults Only)</t>
        </is>
      </c>
      <c r="C9" s="12" t="inlineStr">
        <is>
          <t>Cozumel west coast</t>
        </is>
      </c>
      <c r="D9" s="12" t="inlineStr">
        <is>
          <t>Y</t>
        </is>
      </c>
      <c r="E9" s="12" t="n">
        <v>5</v>
      </c>
      <c r="F9" s="12" t="n">
        <v>8024</v>
      </c>
      <c r="G9" s="13" t="n">
        <v>3568</v>
      </c>
      <c r="H9" s="12" t="n">
        <v>5.5</v>
      </c>
      <c r="I9" s="12" t="n">
        <v>9.300000000000001</v>
      </c>
      <c r="J9" s="12">
        <f>ROUND(10*MIN($G$8:$G$27)/G9,1)</f>
        <v/>
      </c>
      <c r="K9" s="12">
        <f>ROUND(10*MIN($H$8:$H$27)/H9,1)</f>
        <v/>
      </c>
      <c r="L9" s="14" t="n">
        <v>9</v>
      </c>
      <c r="M9" s="14" t="n">
        <v>10</v>
      </c>
      <c r="N9" s="12">
        <f>MIN(10,ROUND(2*LOG10(F9+1)+2,1))</f>
        <v/>
      </c>
      <c r="O9" s="14" t="n">
        <v>10</v>
      </c>
      <c r="P9" s="14" t="n">
        <v>7</v>
      </c>
      <c r="Q9" s="12">
        <f>ROUND(10*MIN($I$8:$I$27)/I9,1)</f>
        <v/>
      </c>
      <c r="R9" s="14" t="n">
        <v>7</v>
      </c>
      <c r="S9" s="14" t="n">
        <v>8</v>
      </c>
      <c r="T9" s="15">
        <f>ROUND(SUMPRODUCT($J$6:$S$6,J9:S9)/SUM($J$6:$S$6),2)</f>
        <v/>
      </c>
      <c r="U9" s="15">
        <f>RANK(T9,$T$8:$T$27)</f>
        <v/>
      </c>
      <c r="V9" s="12" t="inlineStr">
        <is>
          <t>Island blocks sargassum; dive-grade clarity; 1-stop flight ~5.5h</t>
        </is>
      </c>
    </row>
    <row r="10">
      <c r="A10" s="8" t="n">
        <v>3</v>
      </c>
      <c r="B10" s="8" t="inlineStr">
        <is>
          <t>Secrets The Vine (Adults Only)</t>
        </is>
      </c>
      <c r="C10" s="8" t="inlineStr">
        <is>
          <t>Cancun Hotel Zone</t>
        </is>
      </c>
      <c r="D10" s="8" t="inlineStr">
        <is>
          <t>Y</t>
        </is>
      </c>
      <c r="E10" s="8" t="n">
        <v>5</v>
      </c>
      <c r="F10" s="8" t="n">
        <v>19475</v>
      </c>
      <c r="G10" s="9" t="n">
        <v>2924</v>
      </c>
      <c r="H10" s="8" t="n">
        <v>3.75</v>
      </c>
      <c r="I10" s="8" t="n">
        <v>7.7</v>
      </c>
      <c r="J10" s="8">
        <f>ROUND(10*MIN($G$8:$G$27)/G10,1)</f>
        <v/>
      </c>
      <c r="K10" s="8">
        <f>ROUND(10*MIN($H$8:$H$27)/H10,1)</f>
        <v/>
      </c>
      <c r="L10" s="10" t="n">
        <v>5</v>
      </c>
      <c r="M10" s="10" t="n">
        <v>10</v>
      </c>
      <c r="N10" s="8">
        <f>MIN(10,ROUND(2*LOG10(F10+1)+2,1))</f>
        <v/>
      </c>
      <c r="O10" s="10" t="n">
        <v>10</v>
      </c>
      <c r="P10" s="10" t="n">
        <v>9</v>
      </c>
      <c r="Q10" s="8">
        <f>ROUND(10*MIN($I$8:$I$27)/I10,1)</f>
        <v/>
      </c>
      <c r="R10" s="10" t="n">
        <v>8</v>
      </c>
      <c r="S10" s="10" t="n">
        <v>4</v>
      </c>
      <c r="T10" s="11">
        <f>ROUND(SUMPRODUCT($J$6:$S$6,J10:S10)/SUM($J$6:$S$6),2)</f>
        <v/>
      </c>
      <c r="U10" s="11">
        <f>RANK(T10,$T$8:$T$27)</f>
        <v/>
      </c>
      <c r="V10" s="8" t="inlineStr">
        <is>
          <t>Hotel Zone = HIGH sargassum Aug 2026; clarity docked 9 to 5</t>
        </is>
      </c>
    </row>
    <row r="11">
      <c r="A11" s="12" t="n">
        <v>4</v>
      </c>
      <c r="B11" s="12" t="inlineStr">
        <is>
          <t>Catalonia Riviera Maya</t>
        </is>
      </c>
      <c r="C11" s="12" t="inlineStr">
        <is>
          <t>Riviera Maya</t>
        </is>
      </c>
      <c r="D11" s="12" t="inlineStr">
        <is>
          <t>N</t>
        </is>
      </c>
      <c r="E11" s="12" t="n">
        <v>5</v>
      </c>
      <c r="F11" s="12" t="n">
        <v>3183</v>
      </c>
      <c r="G11" s="13" t="n">
        <v>2144</v>
      </c>
      <c r="H11" s="12" t="n">
        <v>3.75</v>
      </c>
      <c r="I11" s="12" t="n">
        <v>43.2</v>
      </c>
      <c r="J11" s="12">
        <f>ROUND(10*MIN($G$8:$G$27)/G11,1)</f>
        <v/>
      </c>
      <c r="K11" s="12">
        <f>ROUND(10*MIN($H$8:$H$27)/H11,1)</f>
        <v/>
      </c>
      <c r="L11" s="14" t="n">
        <v>4.5</v>
      </c>
      <c r="M11" s="14" t="n">
        <v>7</v>
      </c>
      <c r="N11" s="12">
        <f>MIN(10,ROUND(2*LOG10(F11+1)+2,1))</f>
        <v/>
      </c>
      <c r="O11" s="14" t="n">
        <v>8</v>
      </c>
      <c r="P11" s="14" t="n">
        <v>9</v>
      </c>
      <c r="Q11" s="12">
        <f>ROUND(10*MIN($I$8:$I$27)/I11,1)</f>
        <v/>
      </c>
      <c r="R11" s="14" t="n">
        <v>8</v>
      </c>
      <c r="S11" s="14" t="n">
        <v>4</v>
      </c>
      <c r="T11" s="15">
        <f>ROUND(SUMPRODUCT($J$6:$S$6,J11:S11)/SUM($J$6:$S$6),2)</f>
        <v/>
      </c>
      <c r="U11" s="15">
        <f>RANK(T11,$T$8:$T$27)</f>
        <v/>
      </c>
      <c r="V11" s="12" t="inlineStr">
        <is>
          <t>East-facing Riviera = high sargassum risk</t>
        </is>
      </c>
    </row>
    <row r="12">
      <c r="A12" s="8" t="n">
        <v>5</v>
      </c>
      <c r="B12" s="8" t="inlineStr">
        <is>
          <t>Hotel Marina El Cid</t>
        </is>
      </c>
      <c r="C12" s="8" t="inlineStr">
        <is>
          <t>Puerto Morelos</t>
        </is>
      </c>
      <c r="D12" s="8" t="inlineStr">
        <is>
          <t>N</t>
        </is>
      </c>
      <c r="E12" s="8" t="n">
        <v>4.5</v>
      </c>
      <c r="F12" s="8" t="n">
        <v>10786</v>
      </c>
      <c r="G12" s="9" t="n">
        <v>2310</v>
      </c>
      <c r="H12" s="8" t="n">
        <v>3.75</v>
      </c>
      <c r="I12" s="8" t="n">
        <v>14.1</v>
      </c>
      <c r="J12" s="8">
        <f>ROUND(10*MIN($G$8:$G$27)/G12,1)</f>
        <v/>
      </c>
      <c r="K12" s="8">
        <f>ROUND(10*MIN($H$8:$H$27)/H12,1)</f>
        <v/>
      </c>
      <c r="L12" s="10" t="n">
        <v>5</v>
      </c>
      <c r="M12" s="10" t="n">
        <v>6</v>
      </c>
      <c r="N12" s="8">
        <f>MIN(10,ROUND(2*LOG10(F12+1)+2,1))</f>
        <v/>
      </c>
      <c r="O12" s="10" t="n">
        <v>8</v>
      </c>
      <c r="P12" s="10" t="n">
        <v>9</v>
      </c>
      <c r="Q12" s="8">
        <f>ROUND(10*MIN($I$8:$I$27)/I12,1)</f>
        <v/>
      </c>
      <c r="R12" s="10" t="n">
        <v>8</v>
      </c>
      <c r="S12" s="10" t="n">
        <v>4.5</v>
      </c>
      <c r="T12" s="11">
        <f>ROUND(SUMPRODUCT($J$6:$S$6,J12:S12)/SUM($J$6:$S$6),2)</f>
        <v/>
      </c>
      <c r="U12" s="11">
        <f>RANK(T12,$T$8:$T$27)</f>
        <v/>
      </c>
      <c r="V12" s="8" t="inlineStr">
        <is>
          <t>East-facing; reef offshore helps a little</t>
        </is>
      </c>
    </row>
    <row r="13">
      <c r="A13" s="12" t="n">
        <v>6</v>
      </c>
      <c r="B13" s="12" t="inlineStr">
        <is>
          <t>Riu Negril</t>
        </is>
      </c>
      <c r="C13" s="12" t="inlineStr">
        <is>
          <t>Negril, Jamaica</t>
        </is>
      </c>
      <c r="D13" s="12" t="inlineStr">
        <is>
          <t>N</t>
        </is>
      </c>
      <c r="E13" s="12" t="n">
        <v>4</v>
      </c>
      <c r="F13" s="12" t="n">
        <v>9094</v>
      </c>
      <c r="G13" s="13" t="n">
        <v>2906</v>
      </c>
      <c r="H13" s="12" t="n">
        <v>4</v>
      </c>
      <c r="I13" s="12" t="n">
        <v>29.3</v>
      </c>
      <c r="J13" s="12">
        <f>ROUND(10*MIN($G$8:$G$27)/G13,1)</f>
        <v/>
      </c>
      <c r="K13" s="12">
        <f>ROUND(10*MIN($H$8:$H$27)/H13,1)</f>
        <v/>
      </c>
      <c r="L13" s="14" t="n">
        <v>8</v>
      </c>
      <c r="M13" s="14" t="n">
        <v>6</v>
      </c>
      <c r="N13" s="12">
        <f>MIN(10,ROUND(2*LOG10(F13+1)+2,1))</f>
        <v/>
      </c>
      <c r="O13" s="14" t="n">
        <v>7</v>
      </c>
      <c r="P13" s="14" t="n">
        <v>7</v>
      </c>
      <c r="Q13" s="12">
        <f>ROUND(10*MIN($I$8:$I$27)/I13,1)</f>
        <v/>
      </c>
      <c r="R13" s="14" t="n">
        <v>7</v>
      </c>
      <c r="S13" s="14" t="n">
        <v>8</v>
      </c>
      <c r="T13" s="15">
        <f>ROUND(SUMPRODUCT($J$6:$S$6,J13:S13)/SUM($J$6:$S$6),2)</f>
        <v/>
      </c>
      <c r="U13" s="15">
        <f>RANK(T13,$T$8:$T$27)</f>
        <v/>
      </c>
      <c r="V13" s="12" t="inlineStr">
        <is>
          <t>West coast historically sargassum-free even in 2026</t>
        </is>
      </c>
    </row>
    <row r="14">
      <c r="A14" s="8" t="n">
        <v>7</v>
      </c>
      <c r="B14" s="8" t="inlineStr">
        <is>
          <t>Riu Yucatan</t>
        </is>
      </c>
      <c r="C14" s="8" t="inlineStr">
        <is>
          <t>Playa del Carmen</t>
        </is>
      </c>
      <c r="D14" s="8" t="inlineStr">
        <is>
          <t>N</t>
        </is>
      </c>
      <c r="E14" s="8" t="n">
        <v>4</v>
      </c>
      <c r="F14" s="8" t="n">
        <v>9389</v>
      </c>
      <c r="G14" s="9" t="n">
        <v>2134</v>
      </c>
      <c r="H14" s="8" t="n">
        <v>3.75</v>
      </c>
      <c r="I14" s="8" t="n">
        <v>33.2</v>
      </c>
      <c r="J14" s="8">
        <f>ROUND(10*MIN($G$8:$G$27)/G14,1)</f>
        <v/>
      </c>
      <c r="K14" s="8">
        <f>ROUND(10*MIN($H$8:$H$27)/H14,1)</f>
        <v/>
      </c>
      <c r="L14" s="10" t="n">
        <v>4.5</v>
      </c>
      <c r="M14" s="10" t="n">
        <v>6</v>
      </c>
      <c r="N14" s="8">
        <f>MIN(10,ROUND(2*LOG10(F14+1)+2,1))</f>
        <v/>
      </c>
      <c r="O14" s="10" t="n">
        <v>7</v>
      </c>
      <c r="P14" s="10" t="n">
        <v>9</v>
      </c>
      <c r="Q14" s="8">
        <f>ROUND(10*MIN($I$8:$I$27)/I14,1)</f>
        <v/>
      </c>
      <c r="R14" s="10" t="n">
        <v>8</v>
      </c>
      <c r="S14" s="10" t="n">
        <v>4</v>
      </c>
      <c r="T14" s="11">
        <f>ROUND(SUMPRODUCT($J$6:$S$6,J14:S14)/SUM($J$6:$S$6),2)</f>
        <v/>
      </c>
      <c r="U14" s="11">
        <f>RANK(T14,$T$8:$T$27)</f>
        <v/>
      </c>
      <c r="V14" s="8" t="inlineStr">
        <is>
          <t>PDC beaches getting hit in 2026</t>
        </is>
      </c>
    </row>
    <row r="15">
      <c r="A15" s="12" t="n">
        <v>8</v>
      </c>
      <c r="B15" s="12" t="inlineStr">
        <is>
          <t>Riu Palace Paradise Island (AO)</t>
        </is>
      </c>
      <c r="C15" s="12" t="inlineStr">
        <is>
          <t>Nassau, Bahamas</t>
        </is>
      </c>
      <c r="D15" s="12" t="inlineStr">
        <is>
          <t>Y</t>
        </is>
      </c>
      <c r="E15" s="12" t="n">
        <v>4.5</v>
      </c>
      <c r="F15" s="12" t="n">
        <v>2973</v>
      </c>
      <c r="G15" s="13" t="n">
        <v>3716</v>
      </c>
      <c r="H15" s="12" t="n">
        <v>3</v>
      </c>
      <c r="I15" s="12" t="n">
        <v>9.800000000000001</v>
      </c>
      <c r="J15" s="12">
        <f>ROUND(10*MIN($G$8:$G$27)/G15,1)</f>
        <v/>
      </c>
      <c r="K15" s="12">
        <f>ROUND(10*MIN($H$8:$H$27)/H15,1)</f>
        <v/>
      </c>
      <c r="L15" s="14" t="n">
        <v>7</v>
      </c>
      <c r="M15" s="14" t="n">
        <v>9</v>
      </c>
      <c r="N15" s="12">
        <f>MIN(10,ROUND(2*LOG10(F15+1)+2,1))</f>
        <v/>
      </c>
      <c r="O15" s="14" t="n">
        <v>9</v>
      </c>
      <c r="P15" s="14" t="n">
        <v>7</v>
      </c>
      <c r="Q15" s="12">
        <f>ROUND(10*MIN($I$8:$I$27)/I15,1)</f>
        <v/>
      </c>
      <c r="R15" s="14" t="n">
        <v>6</v>
      </c>
      <c r="S15" s="14" t="n">
        <v>5.5</v>
      </c>
      <c r="T15" s="15">
        <f>ROUND(SUMPRODUCT($J$6:$S$6,J15:S15)/SUM($J$6:$S$6),2)</f>
        <v/>
      </c>
      <c r="U15" s="15">
        <f>RANK(T15,$T$8:$T$27)</f>
        <v/>
      </c>
      <c r="V15" s="12" t="inlineStr">
        <is>
          <t>2026 patches reach Bahamas; resorts rake daily; wettest weather</t>
        </is>
      </c>
    </row>
    <row r="16">
      <c r="A16" s="8" t="n">
        <v>9</v>
      </c>
      <c r="B16" s="8" t="inlineStr">
        <is>
          <t>Dreams Cozumel Cape</t>
        </is>
      </c>
      <c r="C16" s="8" t="inlineStr">
        <is>
          <t>Cozumel west coast</t>
        </is>
      </c>
      <c r="D16" s="8" t="inlineStr">
        <is>
          <t>N</t>
        </is>
      </c>
      <c r="E16" s="8" t="n">
        <v>5</v>
      </c>
      <c r="F16" s="8" t="n">
        <v>965</v>
      </c>
      <c r="G16" s="9" t="n">
        <v>3396</v>
      </c>
      <c r="H16" s="8" t="n">
        <v>5.5</v>
      </c>
      <c r="I16" s="8" t="n">
        <v>1.7</v>
      </c>
      <c r="J16" s="8">
        <f>ROUND(10*MIN($G$8:$G$27)/G16,1)</f>
        <v/>
      </c>
      <c r="K16" s="8">
        <f>ROUND(10*MIN($H$8:$H$27)/H16,1)</f>
        <v/>
      </c>
      <c r="L16" s="10" t="n">
        <v>9</v>
      </c>
      <c r="M16" s="10" t="n">
        <v>6</v>
      </c>
      <c r="N16" s="8">
        <f>MIN(10,ROUND(2*LOG10(F16+1)+2,1))</f>
        <v/>
      </c>
      <c r="O16" s="10" t="n">
        <v>9</v>
      </c>
      <c r="P16" s="10" t="n">
        <v>7</v>
      </c>
      <c r="Q16" s="8">
        <f>ROUND(10*MIN($I$8:$I$27)/I16,1)</f>
        <v/>
      </c>
      <c r="R16" s="10" t="n">
        <v>7</v>
      </c>
      <c r="S16" s="10" t="n">
        <v>8</v>
      </c>
      <c r="T16" s="11">
        <f>ROUND(SUMPRODUCT($J$6:$S$6,J16:S16)/SUM($J$6:$S$6),2)</f>
        <v/>
      </c>
      <c r="U16" s="11">
        <f>RANK(T16,$T$8:$T$27)</f>
        <v/>
      </c>
      <c r="V16" s="8" t="inlineStr">
        <is>
          <t>Same protected clarity, family resort</t>
        </is>
      </c>
    </row>
    <row r="17">
      <c r="A17" s="12" t="n">
        <v>10</v>
      </c>
      <c r="B17" s="12" t="inlineStr">
        <is>
          <t>Barcelo Bavaro Beach (Adults Only)</t>
        </is>
      </c>
      <c r="C17" s="12" t="inlineStr">
        <is>
          <t>Bavaro, Punta Cana</t>
        </is>
      </c>
      <c r="D17" s="12" t="inlineStr">
        <is>
          <t>Y</t>
        </is>
      </c>
      <c r="E17" s="12" t="n">
        <v>4</v>
      </c>
      <c r="F17" s="12" t="n">
        <v>16399</v>
      </c>
      <c r="G17" s="13" t="n">
        <v>2460</v>
      </c>
      <c r="H17" s="12" t="n">
        <v>4.25</v>
      </c>
      <c r="I17" s="12" t="n">
        <v>7</v>
      </c>
      <c r="J17" s="12">
        <f>ROUND(10*MIN($G$8:$G$27)/G17,1)</f>
        <v/>
      </c>
      <c r="K17" s="12">
        <f>ROUND(10*MIN($H$8:$H$27)/H17,1)</f>
        <v/>
      </c>
      <c r="L17" s="14" t="n">
        <v>4</v>
      </c>
      <c r="M17" s="14" t="n">
        <v>9</v>
      </c>
      <c r="N17" s="12">
        <f>MIN(10,ROUND(2*LOG10(F17+1)+2,1))</f>
        <v/>
      </c>
      <c r="O17" s="14" t="n">
        <v>7</v>
      </c>
      <c r="P17" s="14" t="n">
        <v>8</v>
      </c>
      <c r="Q17" s="12">
        <f>ROUND(10*MIN($I$8:$I$27)/I17,1)</f>
        <v/>
      </c>
      <c r="R17" s="14" t="n">
        <v>8</v>
      </c>
      <c r="S17" s="14" t="n">
        <v>3.5</v>
      </c>
      <c r="T17" s="15">
        <f>ROUND(SUMPRODUCT($J$6:$S$6,J17:S17)/SUM($J$6:$S$6),2)</f>
        <v/>
      </c>
      <c r="U17" s="15">
        <f>RANK(T17,$T$8:$T$27)</f>
        <v/>
      </c>
      <c r="V17" s="12" t="inlineStr">
        <is>
          <t>Bavaro = peak sargassum exposure Aug 2026</t>
        </is>
      </c>
    </row>
    <row r="18">
      <c r="A18" s="8" t="n">
        <v>11</v>
      </c>
      <c r="B18" s="8" t="inlineStr">
        <is>
          <t>Riu Palace Punta Cana</t>
        </is>
      </c>
      <c r="C18" s="8" t="inlineStr">
        <is>
          <t>Punta Cana</t>
        </is>
      </c>
      <c r="D18" s="8" t="inlineStr">
        <is>
          <t>N</t>
        </is>
      </c>
      <c r="E18" s="8" t="n">
        <v>5</v>
      </c>
      <c r="F18" s="8" t="n">
        <v>4067</v>
      </c>
      <c r="G18" s="9" t="n">
        <v>2454</v>
      </c>
      <c r="H18" s="8" t="n">
        <v>4.25</v>
      </c>
      <c r="I18" s="8" t="n">
        <v>12.2</v>
      </c>
      <c r="J18" s="8">
        <f>ROUND(10*MIN($G$8:$G$27)/G18,1)</f>
        <v/>
      </c>
      <c r="K18" s="8">
        <f>ROUND(10*MIN($H$8:$H$27)/H18,1)</f>
        <v/>
      </c>
      <c r="L18" s="10" t="n">
        <v>4</v>
      </c>
      <c r="M18" s="10" t="n">
        <v>7</v>
      </c>
      <c r="N18" s="8">
        <f>MIN(10,ROUND(2*LOG10(F18+1)+2,1))</f>
        <v/>
      </c>
      <c r="O18" s="10" t="n">
        <v>9</v>
      </c>
      <c r="P18" s="10" t="n">
        <v>8</v>
      </c>
      <c r="Q18" s="8">
        <f>ROUND(10*MIN($I$8:$I$27)/I18,1)</f>
        <v/>
      </c>
      <c r="R18" s="10" t="n">
        <v>8</v>
      </c>
      <c r="S18" s="10" t="n">
        <v>3.5</v>
      </c>
      <c r="T18" s="11">
        <f>ROUND(SUMPRODUCT($J$6:$S$6,J18:S18)/SUM($J$6:$S$6),2)</f>
        <v/>
      </c>
      <c r="U18" s="11">
        <f>RANK(T18,$T$8:$T$27)</f>
        <v/>
      </c>
      <c r="V18" s="8" t="inlineStr">
        <is>
          <t>Same exposure</t>
        </is>
      </c>
    </row>
    <row r="19">
      <c r="A19" s="12" t="n">
        <v>12</v>
      </c>
      <c r="B19" s="12" t="inlineStr">
        <is>
          <t>Riu Palace Macao (Adults Only)</t>
        </is>
      </c>
      <c r="C19" s="12" t="inlineStr">
        <is>
          <t>Punta Cana</t>
        </is>
      </c>
      <c r="D19" s="12" t="inlineStr">
        <is>
          <t>Y</t>
        </is>
      </c>
      <c r="E19" s="12" t="n">
        <v>5</v>
      </c>
      <c r="F19" s="12" t="n">
        <v>6928</v>
      </c>
      <c r="G19" s="13" t="n">
        <v>2904</v>
      </c>
      <c r="H19" s="12" t="n">
        <v>4.25</v>
      </c>
      <c r="I19" s="12" t="n">
        <v>11.7</v>
      </c>
      <c r="J19" s="12">
        <f>ROUND(10*MIN($G$8:$G$27)/G19,1)</f>
        <v/>
      </c>
      <c r="K19" s="12">
        <f>ROUND(10*MIN($H$8:$H$27)/H19,1)</f>
        <v/>
      </c>
      <c r="L19" s="14" t="n">
        <v>4</v>
      </c>
      <c r="M19" s="14" t="n">
        <v>10</v>
      </c>
      <c r="N19" s="12">
        <f>MIN(10,ROUND(2*LOG10(F19+1)+2,1))</f>
        <v/>
      </c>
      <c r="O19" s="14" t="n">
        <v>9</v>
      </c>
      <c r="P19" s="14" t="n">
        <v>8</v>
      </c>
      <c r="Q19" s="12">
        <f>ROUND(10*MIN($I$8:$I$27)/I19,1)</f>
        <v/>
      </c>
      <c r="R19" s="14" t="n">
        <v>8</v>
      </c>
      <c r="S19" s="14" t="n">
        <v>3.5</v>
      </c>
      <c r="T19" s="15">
        <f>ROUND(SUMPRODUCT($J$6:$S$6,J19:S19)/SUM($J$6:$S$6),2)</f>
        <v/>
      </c>
      <c r="U19" s="15">
        <f>RANK(T19,$T$8:$T$27)</f>
        <v/>
      </c>
      <c r="V19" s="12" t="inlineStr">
        <is>
          <t>Swim-up suites can't fix seaweed</t>
        </is>
      </c>
    </row>
    <row r="20">
      <c r="A20" s="8" t="n">
        <v>13</v>
      </c>
      <c r="B20" s="8" t="inlineStr">
        <is>
          <t>Sonesta Ocean Point (Adults Only)</t>
        </is>
      </c>
      <c r="C20" s="8" t="inlineStr">
        <is>
          <t>St. Maarten</t>
        </is>
      </c>
      <c r="D20" s="8" t="inlineStr">
        <is>
          <t>Y</t>
        </is>
      </c>
      <c r="E20" s="8" t="n">
        <v>5</v>
      </c>
      <c r="F20" s="8" t="n">
        <v>1042</v>
      </c>
      <c r="G20" s="9" t="n">
        <v>5820</v>
      </c>
      <c r="H20" s="8" t="n">
        <v>6</v>
      </c>
      <c r="I20" s="8" t="n">
        <v>0.7</v>
      </c>
      <c r="J20" s="8">
        <f>ROUND(10*MIN($G$8:$G$27)/G20,1)</f>
        <v/>
      </c>
      <c r="K20" s="8">
        <f>ROUND(10*MIN($H$8:$H$27)/H20,1)</f>
        <v/>
      </c>
      <c r="L20" s="10" t="n">
        <v>7</v>
      </c>
      <c r="M20" s="10" t="n">
        <v>10</v>
      </c>
      <c r="N20" s="8">
        <f>MIN(10,ROUND(2*LOG10(F20+1)+2,1))</f>
        <v/>
      </c>
      <c r="O20" s="10" t="n">
        <v>9</v>
      </c>
      <c r="P20" s="10" t="n">
        <v>7</v>
      </c>
      <c r="Q20" s="8">
        <f>ROUND(10*MIN($I$8:$I$27)/I20,1)</f>
        <v/>
      </c>
      <c r="R20" s="10" t="n">
        <v>6</v>
      </c>
      <c r="S20" s="10" t="n">
        <v>6</v>
      </c>
      <c r="T20" s="11">
        <f>ROUND(SUMPRODUCT($J$6:$S$6,J20:S20)/SUM($J$6:$S$6),2)</f>
        <v/>
      </c>
      <c r="U20" s="11">
        <f>RANK(T20,$T$8:$T$27)</f>
        <v/>
      </c>
      <c r="V20" s="8" t="inlineStr">
        <is>
          <t>West side OK; island-wide heavy landings expected</t>
        </is>
      </c>
    </row>
    <row r="21">
      <c r="A21" s="12" t="n">
        <v>14</v>
      </c>
      <c r="B21" s="12" t="inlineStr">
        <is>
          <t>The Verandah (Adults Only)</t>
        </is>
      </c>
      <c r="C21" s="12" t="inlineStr">
        <is>
          <t>Antigua</t>
        </is>
      </c>
      <c r="D21" s="12" t="inlineStr">
        <is>
          <t>Y</t>
        </is>
      </c>
      <c r="E21" s="12" t="n">
        <v>4</v>
      </c>
      <c r="F21" s="12" t="n">
        <v>5377</v>
      </c>
      <c r="G21" s="13" t="n">
        <v>4998</v>
      </c>
      <c r="H21" s="12" t="n">
        <v>6</v>
      </c>
      <c r="I21" s="12" t="n">
        <v>8</v>
      </c>
      <c r="J21" s="12">
        <f>ROUND(10*MIN($G$8:$G$27)/G21,1)</f>
        <v/>
      </c>
      <c r="K21" s="12">
        <f>ROUND(10*MIN($H$8:$H$27)/H21,1)</f>
        <v/>
      </c>
      <c r="L21" s="14" t="n">
        <v>7</v>
      </c>
      <c r="M21" s="14" t="n">
        <v>9</v>
      </c>
      <c r="N21" s="12">
        <f>MIN(10,ROUND(2*LOG10(F21+1)+2,1))</f>
        <v/>
      </c>
      <c r="O21" s="14" t="n">
        <v>7</v>
      </c>
      <c r="P21" s="14" t="n">
        <v>7</v>
      </c>
      <c r="Q21" s="12">
        <f>ROUND(10*MIN($I$8:$I$27)/I21,1)</f>
        <v/>
      </c>
      <c r="R21" s="14" t="n">
        <v>6</v>
      </c>
      <c r="S21" s="14" t="n">
        <v>6</v>
      </c>
      <c r="T21" s="15">
        <f>ROUND(SUMPRODUCT($J$6:$S$6,J21:S21)/SUM($J$6:$S$6),2)</f>
        <v/>
      </c>
      <c r="U21" s="15">
        <f>RANK(T21,$T$8:$T$27)</f>
        <v/>
      </c>
      <c r="V21" s="12" t="inlineStr">
        <is>
          <t>E Caribbean at record sargassum; NW bays usually OK</t>
        </is>
      </c>
    </row>
    <row r="22">
      <c r="A22" s="8" t="n">
        <v>15</v>
      </c>
      <c r="B22" s="8" t="inlineStr">
        <is>
          <t>Royalton Hideaway (Adults Only)</t>
        </is>
      </c>
      <c r="C22" s="8" t="inlineStr">
        <is>
          <t>St. Lucia</t>
        </is>
      </c>
      <c r="D22" s="8" t="inlineStr">
        <is>
          <t>Y</t>
        </is>
      </c>
      <c r="E22" s="8" t="n">
        <v>5</v>
      </c>
      <c r="F22" s="8" t="n">
        <v>3203</v>
      </c>
      <c r="G22" s="9" t="n">
        <v>5172</v>
      </c>
      <c r="H22" s="8" t="n">
        <v>6.5</v>
      </c>
      <c r="I22" s="8" t="n">
        <v>24</v>
      </c>
      <c r="J22" s="8">
        <f>ROUND(10*MIN($G$8:$G$27)/G22,1)</f>
        <v/>
      </c>
      <c r="K22" s="8">
        <f>ROUND(10*MIN($H$8:$H$27)/H22,1)</f>
        <v/>
      </c>
      <c r="L22" s="10" t="n">
        <v>6</v>
      </c>
      <c r="M22" s="10" t="n">
        <v>9</v>
      </c>
      <c r="N22" s="8">
        <f>MIN(10,ROUND(2*LOG10(F22+1)+2,1))</f>
        <v/>
      </c>
      <c r="O22" s="10" t="n">
        <v>9</v>
      </c>
      <c r="P22" s="10" t="n">
        <v>7</v>
      </c>
      <c r="Q22" s="8">
        <f>ROUND(10*MIN($I$8:$I$27)/I22,1)</f>
        <v/>
      </c>
      <c r="R22" s="10" t="n">
        <v>6</v>
      </c>
      <c r="S22" s="10" t="n">
        <v>5</v>
      </c>
      <c r="T22" s="11">
        <f>ROUND(SUMPRODUCT($J$6:$S$6,J22:S22)/SUM($J$6:$S$6),2)</f>
        <v/>
      </c>
      <c r="U22" s="11">
        <f>RANK(T22,$T$8:$T$27)</f>
        <v/>
      </c>
      <c r="V22" s="8" t="inlineStr">
        <is>
          <t>Volcanic sand; wettest month</t>
        </is>
      </c>
    </row>
    <row r="23">
      <c r="A23" s="12" t="n">
        <v>16</v>
      </c>
      <c r="B23" s="12" t="inlineStr">
        <is>
          <t>The Club Barbados (Adults Only)</t>
        </is>
      </c>
      <c r="C23" s="12" t="inlineStr">
        <is>
          <t>Barbados</t>
        </is>
      </c>
      <c r="D23" s="12" t="inlineStr">
        <is>
          <t>Y</t>
        </is>
      </c>
      <c r="E23" s="12" t="n">
        <v>3.5</v>
      </c>
      <c r="F23" s="12" t="n">
        <v>3042</v>
      </c>
      <c r="G23" s="13" t="n">
        <v>4520</v>
      </c>
      <c r="H23" s="12" t="n">
        <v>6.5</v>
      </c>
      <c r="I23" s="12" t="n">
        <v>13</v>
      </c>
      <c r="J23" s="12">
        <f>ROUND(10*MIN($G$8:$G$27)/G23,1)</f>
        <v/>
      </c>
      <c r="K23" s="12">
        <f>ROUND(10*MIN($H$8:$H$27)/H23,1)</f>
        <v/>
      </c>
      <c r="L23" s="14" t="n">
        <v>5</v>
      </c>
      <c r="M23" s="14" t="n">
        <v>9</v>
      </c>
      <c r="N23" s="12">
        <f>MIN(10,ROUND(2*LOG10(F23+1)+2,1))</f>
        <v/>
      </c>
      <c r="O23" s="14" t="n">
        <v>6</v>
      </c>
      <c r="P23" s="14" t="n">
        <v>7</v>
      </c>
      <c r="Q23" s="12">
        <f>ROUND(10*MIN($I$8:$I$27)/I23,1)</f>
        <v/>
      </c>
      <c r="R23" s="14" t="n">
        <v>6</v>
      </c>
      <c r="S23" s="14" t="n">
        <v>4</v>
      </c>
      <c r="T23" s="15">
        <f>ROUND(SUMPRODUCT($J$6:$S$6,J23:S23)/SUM($J$6:$S$6),2)</f>
        <v/>
      </c>
      <c r="U23" s="15">
        <f>RANK(T23,$T$8:$T$27)</f>
        <v/>
      </c>
      <c r="V23" s="12" t="inlineStr">
        <is>
          <t>Barbados: one of worst sargassum years on record</t>
        </is>
      </c>
    </row>
    <row r="24">
      <c r="A24" s="8" t="n">
        <v>17</v>
      </c>
      <c r="B24" s="8" t="inlineStr">
        <is>
          <t>Blue Haven Resort</t>
        </is>
      </c>
      <c r="C24" s="8" t="inlineStr">
        <is>
          <t>Turks &amp; Caicos</t>
        </is>
      </c>
      <c r="D24" s="8" t="inlineStr">
        <is>
          <t>N</t>
        </is>
      </c>
      <c r="E24" s="8" t="n">
        <v>4.5</v>
      </c>
      <c r="F24" s="8" t="n">
        <v>1886</v>
      </c>
      <c r="G24" s="9" t="n">
        <v>8328</v>
      </c>
      <c r="H24" s="8" t="n">
        <v>5</v>
      </c>
      <c r="I24" s="8" t="n">
        <v>8.4</v>
      </c>
      <c r="J24" s="8">
        <f>ROUND(10*MIN($G$8:$G$27)/G24,1)</f>
        <v/>
      </c>
      <c r="K24" s="8">
        <f>ROUND(10*MIN($H$8:$H$27)/H24,1)</f>
        <v/>
      </c>
      <c r="L24" s="10" t="n">
        <v>9.5</v>
      </c>
      <c r="M24" s="10" t="n">
        <v>7</v>
      </c>
      <c r="N24" s="8">
        <f>MIN(10,ROUND(2*LOG10(F24+1)+2,1))</f>
        <v/>
      </c>
      <c r="O24" s="10" t="n">
        <v>8</v>
      </c>
      <c r="P24" s="10" t="n">
        <v>7</v>
      </c>
      <c r="Q24" s="8">
        <f>ROUND(10*MIN($I$8:$I$27)/I24,1)</f>
        <v/>
      </c>
      <c r="R24" s="10" t="n">
        <v>5</v>
      </c>
      <c r="S24" s="10" t="n">
        <v>8</v>
      </c>
      <c r="T24" s="11">
        <f>ROUND(SUMPRODUCT($J$6:$S$6,J24:S24)/SUM($J$6:$S$6),2)</f>
        <v/>
      </c>
      <c r="U24" s="11">
        <f>RANK(T24,$T$8:$T$27)</f>
        <v/>
      </c>
      <c r="V24" s="8" t="inlineStr">
        <is>
          <t>Clearest water in the Caribbean; price is the problem</t>
        </is>
      </c>
    </row>
    <row r="25">
      <c r="A25" s="12" t="n">
        <v>18</v>
      </c>
      <c r="B25" s="12" t="inlineStr">
        <is>
          <t>The Reef Beach Resort (AI)</t>
        </is>
      </c>
      <c r="C25" s="12" t="inlineStr">
        <is>
          <t>Grand Cayman</t>
        </is>
      </c>
      <c r="D25" s="12" t="inlineStr">
        <is>
          <t>N</t>
        </is>
      </c>
      <c r="E25" s="12" t="n">
        <v>3.5</v>
      </c>
      <c r="F25" s="12" t="n">
        <v>2765</v>
      </c>
      <c r="G25" s="13" t="n">
        <v>5214</v>
      </c>
      <c r="H25" s="12" t="n">
        <v>5</v>
      </c>
      <c r="I25" s="12" t="n">
        <v>18.5</v>
      </c>
      <c r="J25" s="12">
        <f>ROUND(10*MIN($G$8:$G$27)/G25,1)</f>
        <v/>
      </c>
      <c r="K25" s="12">
        <f>ROUND(10*MIN($H$8:$H$27)/H25,1)</f>
        <v/>
      </c>
      <c r="L25" s="14" t="n">
        <v>9</v>
      </c>
      <c r="M25" s="14" t="n">
        <v>6</v>
      </c>
      <c r="N25" s="12">
        <f>MIN(10,ROUND(2*LOG10(F25+1)+2,1))</f>
        <v/>
      </c>
      <c r="O25" s="14" t="n">
        <v>6</v>
      </c>
      <c r="P25" s="14" t="n">
        <v>7</v>
      </c>
      <c r="Q25" s="12">
        <f>ROUND(10*MIN($I$8:$I$27)/I25,1)</f>
        <v/>
      </c>
      <c r="R25" s="14" t="n">
        <v>6</v>
      </c>
      <c r="S25" s="14" t="n">
        <v>7.5</v>
      </c>
      <c r="T25" s="15">
        <f>ROUND(SUMPRODUCT($J$6:$S$6,J25:S25)/SUM($J$6:$S$6),2)</f>
        <v/>
      </c>
      <c r="U25" s="15">
        <f>RANK(T25,$T$8:$T$27)</f>
        <v/>
      </c>
      <c r="V25" s="12" t="inlineStr">
        <is>
          <t>Seven Mile-grade clarity, only true AI on island</t>
        </is>
      </c>
    </row>
    <row r="26">
      <c r="A26" s="8" t="n">
        <v>19</v>
      </c>
      <c r="B26" s="8" t="inlineStr">
        <is>
          <t>Riu Palace Aruba (reference)</t>
        </is>
      </c>
      <c r="C26" s="8" t="inlineStr">
        <is>
          <t>Palm Beach, Aruba</t>
        </is>
      </c>
      <c r="D26" s="8" t="inlineStr">
        <is>
          <t>N</t>
        </is>
      </c>
      <c r="E26" s="8" t="n">
        <v>4</v>
      </c>
      <c r="F26" s="8" t="n">
        <v>9500</v>
      </c>
      <c r="G26" s="9" t="n">
        <v>5972</v>
      </c>
      <c r="H26" s="8" t="n">
        <v>6.7</v>
      </c>
      <c r="I26" s="8" t="n">
        <v>5.1</v>
      </c>
      <c r="J26" s="8">
        <f>ROUND(10*MIN($G$8:$G$27)/G26,1)</f>
        <v/>
      </c>
      <c r="K26" s="8">
        <f>ROUND(10*MIN($H$8:$H$27)/H26,1)</f>
        <v/>
      </c>
      <c r="L26" s="10" t="n">
        <v>8</v>
      </c>
      <c r="M26" s="10" t="n">
        <v>7</v>
      </c>
      <c r="N26" s="8">
        <f>MIN(10,ROUND(2*LOG10(F26+1)+2,1))</f>
        <v/>
      </c>
      <c r="O26" s="10" t="n">
        <v>9</v>
      </c>
      <c r="P26" s="10" t="n">
        <v>3</v>
      </c>
      <c r="Q26" s="8">
        <f>ROUND(10*MIN($I$8:$I$27)/I26,1)</f>
        <v/>
      </c>
      <c r="R26" s="10" t="n">
        <v>4</v>
      </c>
      <c r="S26" s="10" t="n">
        <v>10</v>
      </c>
      <c r="T26" s="11">
        <f>ROUND(SUMPRODUCT($J$6:$S$6,J26:S26)/SUM($J$6:$S$6),2)</f>
        <v/>
      </c>
      <c r="U26" s="11">
        <f>RANK(T26,$T$8:$T$27)</f>
        <v/>
      </c>
      <c r="V26" s="8" t="inlineStr">
        <is>
          <t>Zero sargassum + zero hurricanes + driest island; price kills it</t>
        </is>
      </c>
    </row>
    <row r="27">
      <c r="A27" s="12" t="n">
        <v>20</v>
      </c>
      <c r="B27" s="12" t="inlineStr">
        <is>
          <t>Riu Palace Antillas (Adults Only)</t>
        </is>
      </c>
      <c r="C27" s="12" t="inlineStr">
        <is>
          <t>Palm Beach, Aruba</t>
        </is>
      </c>
      <c r="D27" s="12" t="inlineStr">
        <is>
          <t>Y</t>
        </is>
      </c>
      <c r="E27" s="12" t="n">
        <v>4.5</v>
      </c>
      <c r="F27" s="12" t="n">
        <v>1656</v>
      </c>
      <c r="G27" s="13" t="n">
        <v>6924</v>
      </c>
      <c r="H27" s="12" t="n">
        <v>6.7</v>
      </c>
      <c r="I27" s="12" t="n">
        <v>5.1</v>
      </c>
      <c r="J27" s="12">
        <f>ROUND(10*MIN($G$8:$G$27)/G27,1)</f>
        <v/>
      </c>
      <c r="K27" s="12">
        <f>ROUND(10*MIN($H$8:$H$27)/H27,1)</f>
        <v/>
      </c>
      <c r="L27" s="14" t="n">
        <v>8</v>
      </c>
      <c r="M27" s="14" t="n">
        <v>9</v>
      </c>
      <c r="N27" s="12">
        <f>MIN(10,ROUND(2*LOG10(F27+1)+2,1))</f>
        <v/>
      </c>
      <c r="O27" s="14" t="n">
        <v>9</v>
      </c>
      <c r="P27" s="14" t="n">
        <v>3</v>
      </c>
      <c r="Q27" s="12">
        <f>ROUND(10*MIN($I$8:$I$27)/I27,1)</f>
        <v/>
      </c>
      <c r="R27" s="14" t="n">
        <v>4</v>
      </c>
      <c r="S27" s="14" t="n">
        <v>10</v>
      </c>
      <c r="T27" s="15">
        <f>ROUND(SUMPRODUCT($J$6:$S$6,J27:S27)/SUM($J$6:$S$6),2)</f>
        <v/>
      </c>
      <c r="U27" s="15">
        <f>RANK(T27,$T$8:$T$27)</f>
        <v/>
      </c>
      <c r="V27" s="12" t="inlineStr">
        <is>
          <t>Same perfect conditions, higher price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22" customWidth="1" min="3" max="3"/>
    <col width="12" customWidth="1" min="4" max="4"/>
    <col width="11" customWidth="1" min="5" max="5"/>
    <col width="40" customWidth="1" min="6" max="6"/>
  </cols>
  <sheetData>
    <row r="1">
      <c r="A1" s="16" t="inlineStr">
        <is>
          <t>August 2026 conditions research (compiled 2026-07-17) — drives 'Beach clarity (Aug26)' and 'Aug conditions risk' scores</t>
        </is>
      </c>
    </row>
    <row r="3">
      <c r="A3" s="17" t="inlineStr">
        <is>
          <t>Destination / beach</t>
        </is>
      </c>
      <c r="B3" s="17" t="inlineStr">
        <is>
          <t>Sargassum Aug 2026</t>
        </is>
      </c>
      <c r="C3" s="17" t="inlineStr">
        <is>
          <t>Hurricane risk Aug 8-15</t>
        </is>
      </c>
      <c r="D3" s="17" t="inlineStr">
        <is>
          <t>Clarity (Aug, 1-10)</t>
        </is>
      </c>
      <c r="E3" s="17" t="inlineStr">
        <is>
          <t>Weather (1-10)</t>
        </is>
      </c>
      <c r="F3" s="17" t="inlineStr">
        <is>
          <t>Why</t>
        </is>
      </c>
    </row>
    <row r="4">
      <c r="A4" s="18" t="inlineStr">
        <is>
          <t>Grace Bay, Turks &amp; Caicos</t>
        </is>
      </c>
      <c r="B4" s="18" t="inlineStr">
        <is>
          <t>LOW - north shore shielded</t>
        </is>
      </c>
      <c r="C4" s="18" t="inlineStr">
        <is>
          <t>Low-Med</t>
        </is>
      </c>
      <c r="D4" s="18" t="inlineStr">
        <is>
          <t>9.5</t>
        </is>
      </c>
      <c r="E4" s="18" t="inlineStr">
        <is>
          <t>7.5</t>
        </is>
      </c>
      <c r="F4" s="18" t="inlineStr">
        <is>
          <t>Clearest water in Caribbean; ~100ft visibility</t>
        </is>
      </c>
    </row>
    <row r="5">
      <c r="A5" s="18" t="inlineStr">
        <is>
          <t>Seven Mile Beach, Grand Cayman</t>
        </is>
      </c>
      <c r="B5" s="18" t="inlineStr">
        <is>
          <t>LOW - west-facing</t>
        </is>
      </c>
      <c r="C5" s="18" t="inlineStr">
        <is>
          <t>Low-Med</t>
        </is>
      </c>
      <c r="D5" s="18" t="inlineStr">
        <is>
          <t>9</t>
        </is>
      </c>
      <c r="E5" s="18" t="inlineStr">
        <is>
          <t>6</t>
        </is>
      </c>
      <c r="F5" s="18" t="inlineStr">
        <is>
          <t>100ft+ visibility; wetter Aug</t>
        </is>
      </c>
    </row>
    <row r="6">
      <c r="A6" s="18" t="inlineStr">
        <is>
          <t>Cozumel west coast</t>
        </is>
      </c>
      <c r="B6" s="18" t="inlineStr">
        <is>
          <t>LOW - island blocks the flow</t>
        </is>
      </c>
      <c r="C6" s="18" t="inlineStr">
        <is>
          <t>Med</t>
        </is>
      </c>
      <c r="D6" s="18" t="inlineStr">
        <is>
          <t>9</t>
        </is>
      </c>
      <c r="E6" s="18" t="inlineStr">
        <is>
          <t>6.5</t>
        </is>
      </c>
      <c r="F6" s="18" t="inlineStr">
        <is>
          <t>Dive-grade clarity; July 2026 reports confirm clear</t>
        </is>
      </c>
    </row>
    <row r="7">
      <c r="A7" s="18" t="inlineStr">
        <is>
          <t>Palm Beach, Aruba</t>
        </is>
      </c>
      <c r="B7" s="18" t="inlineStr">
        <is>
          <t>LOW - outside the belt entirely</t>
        </is>
      </c>
      <c r="C7" s="18" t="inlineStr">
        <is>
          <t>VERY LOW - no direct hit since 1851</t>
        </is>
      </c>
      <c r="D7" s="18" t="inlineStr">
        <is>
          <t>8</t>
        </is>
      </c>
      <c r="E7" s="18" t="inlineStr">
        <is>
          <t>9.5</t>
        </is>
      </c>
      <c r="F7" s="18" t="inlineStr">
        <is>
          <t>Driest major island (~36mm Aug)</t>
        </is>
      </c>
    </row>
    <row r="8">
      <c r="A8" s="18" t="inlineStr">
        <is>
          <t>Negril, Jamaica</t>
        </is>
      </c>
      <c r="B8" s="18" t="inlineStr">
        <is>
          <t>LOW - west coast sheltered</t>
        </is>
      </c>
      <c r="C8" s="18" t="inlineStr">
        <is>
          <t>Med</t>
        </is>
      </c>
      <c r="D8" s="18" t="inlineStr">
        <is>
          <t>8</t>
        </is>
      </c>
      <c r="E8" s="18" t="inlineStr">
        <is>
          <t>7.5</t>
        </is>
      </c>
      <c r="F8" s="18" t="inlineStr">
        <is>
          <t>Generally sargassum-free even in 2026</t>
        </is>
      </c>
    </row>
    <row r="9">
      <c r="A9" s="18" t="inlineStr">
        <is>
          <t>Costa Mujeres, Mexico</t>
        </is>
      </c>
      <c r="B9" s="18" t="inlineStr">
        <is>
          <t>LOW-MED - NW-facing, light in July 2026</t>
        </is>
      </c>
      <c r="C9" s="18" t="inlineStr">
        <is>
          <t>Med</t>
        </is>
      </c>
      <c r="D9" s="18" t="inlineStr">
        <is>
          <t>7.5</t>
        </is>
      </c>
      <c r="E9" s="18" t="inlineStr">
        <is>
          <t>7</t>
        </is>
      </c>
      <c r="F9" s="18" t="inlineStr">
        <is>
          <t>Much lighter than Hotel Zone</t>
        </is>
      </c>
    </row>
    <row r="10">
      <c r="A10" s="18" t="inlineStr">
        <is>
          <t>Cabbage Beach, Bahamas</t>
        </is>
      </c>
      <c r="B10" s="18" t="inlineStr">
        <is>
          <t>MED - 2026 patches; resorts rake daily</t>
        </is>
      </c>
      <c r="C10" s="18" t="inlineStr">
        <is>
          <t>Med</t>
        </is>
      </c>
      <c r="D10" s="18" t="inlineStr">
        <is>
          <t>7</t>
        </is>
      </c>
      <c r="E10" s="18" t="inlineStr">
        <is>
          <t>5.5</t>
        </is>
      </c>
      <c r="F10" s="18" t="inlineStr">
        <is>
          <t>Wettest on list (~236mm, 19 rain days)</t>
        </is>
      </c>
    </row>
    <row r="11">
      <c r="A11" s="18" t="inlineStr">
        <is>
          <t>Maho/west St. Maarten</t>
        </is>
      </c>
      <c r="B11" s="18" t="inlineStr">
        <is>
          <t>MED - heavy landings expected island-wide</t>
        </is>
      </c>
      <c r="C11" s="18" t="inlineStr">
        <is>
          <t>Med-High historically</t>
        </is>
      </c>
      <c r="D11" s="18" t="inlineStr">
        <is>
          <t>7</t>
        </is>
      </c>
      <c r="E11" s="18" t="inlineStr">
        <is>
          <t>7</t>
        </is>
      </c>
      <c r="F11" s="18" t="inlineStr"/>
    </row>
    <row r="12">
      <c r="A12" s="18" t="inlineStr">
        <is>
          <t>Dickenson Bay, Antigua</t>
        </is>
      </c>
      <c r="B12" s="18" t="inlineStr">
        <is>
          <t>MED - E Caribbean at record 9.0M tons</t>
        </is>
      </c>
      <c r="C12" s="18" t="inlineStr">
        <is>
          <t>Med</t>
        </is>
      </c>
      <c r="D12" s="18" t="inlineStr">
        <is>
          <t>7</t>
        </is>
      </c>
      <c r="E12" s="18" t="inlineStr">
        <is>
          <t>7</t>
        </is>
      </c>
      <c r="F12" s="18" t="inlineStr">
        <is>
          <t>NW bays usually stay clear</t>
        </is>
      </c>
    </row>
    <row r="13">
      <c r="A13" s="18" t="inlineStr">
        <is>
          <t>Reduit, St. Lucia</t>
        </is>
      </c>
      <c r="B13" s="18" t="inlineStr">
        <is>
          <t>MED-HIGH</t>
        </is>
      </c>
      <c r="C13" s="18" t="inlineStr">
        <is>
          <t>Low-Med</t>
        </is>
      </c>
      <c r="D13" s="18" t="inlineStr">
        <is>
          <t>6</t>
        </is>
      </c>
      <c r="E13" s="18" t="inlineStr">
        <is>
          <t>5</t>
        </is>
      </c>
      <c r="F13" s="18" t="inlineStr">
        <is>
          <t>Volcanic island, wettest group (5-10in Aug)</t>
        </is>
      </c>
    </row>
    <row r="14">
      <c r="A14" s="18" t="inlineStr">
        <is>
          <t>Cancun Hotel Zone</t>
        </is>
      </c>
      <c r="B14" s="18" t="inlineStr">
        <is>
          <t>HIGH - peak season, near-record year</t>
        </is>
      </c>
      <c r="C14" s="18" t="inlineStr">
        <is>
          <t>Med</t>
        </is>
      </c>
      <c r="D14" s="18" t="inlineStr">
        <is>
          <t>5</t>
        </is>
      </c>
      <c r="E14" s="18" t="inlineStr">
        <is>
          <t>7</t>
        </is>
      </c>
      <c r="F14" s="18" t="inlineStr">
        <is>
          <t>Sand raked daily; water often murky nearshore</t>
        </is>
      </c>
    </row>
    <row r="15">
      <c r="A15" s="18" t="inlineStr">
        <is>
          <t>Isla Verde, Puerto Rico</t>
        </is>
      </c>
      <c r="B15" s="18" t="inlineStr">
        <is>
          <t>MED-HIGH - 2025 state of emergency extended</t>
        </is>
      </c>
      <c r="C15" s="18" t="inlineStr">
        <is>
          <t>Med</t>
        </is>
      </c>
      <c r="D15" s="18" t="inlineStr">
        <is>
          <t>5</t>
        </is>
      </c>
      <c r="E15" s="18" t="inlineStr">
        <is>
          <t>6</t>
        </is>
      </c>
      <c r="F15" s="18" t="inlineStr">
        <is>
          <t>Also: no real AI resort scene</t>
        </is>
      </c>
    </row>
    <row r="16">
      <c r="A16" s="18" t="inlineStr">
        <is>
          <t>Bavaro, Punta Cana</t>
        </is>
      </c>
      <c r="B16" s="18" t="inlineStr">
        <is>
          <t>HIGH - east-facing, peak accumulation</t>
        </is>
      </c>
      <c r="C16" s="18" t="inlineStr">
        <is>
          <t>Med</t>
        </is>
      </c>
      <c r="D16" s="18" t="inlineStr">
        <is>
          <t>4</t>
        </is>
      </c>
      <c r="E16" s="18" t="inlineStr">
        <is>
          <t>7</t>
        </is>
      </c>
      <c r="F16" s="18" t="inlineStr">
        <is>
          <t>Worst clarity bet for this specific week</t>
        </is>
      </c>
    </row>
    <row r="17">
      <c r="A17" s="18" t="inlineStr">
        <is>
          <t>Barbados</t>
        </is>
      </c>
      <c r="B17" s="18" t="inlineStr">
        <is>
          <t>HIGH - one of worst years on record</t>
        </is>
      </c>
      <c r="C17" s="18" t="inlineStr">
        <is>
          <t>Low-Med</t>
        </is>
      </c>
      <c r="D17" s="18" t="inlineStr">
        <is>
          <t>-</t>
        </is>
      </c>
      <c r="E17" s="18" t="inlineStr">
        <is>
          <t>-</t>
        </is>
      </c>
      <c r="F17" s="18" t="inlineStr"/>
    </row>
    <row r="20">
      <c r="A20" s="19" t="inlineStr">
        <is>
          <t>Season context: USF bulletin 06 (Jun 30 2026): 33.6M tons Atlantic-wide = 2nd-largest year on record; Caribbean at record June levels. CSU Jul 8 2026: 9 named storms/4 hurricanes/1 major = quietest forecast since 2014 (El Nino shear); NOAA: 55% below-normal. Early Aug is also before the climatological ramp (peak Sep 10).</t>
        </is>
      </c>
    </row>
    <row r="22">
      <c r="A22" s="20" t="inlineStr">
        <is>
          <t>Key sources: optics.marine.usf.edu/projects/SaWS (bulletin 06) | tropical.colostate.edu/Forecast/2026-07.pdf | noaa.gov 2026 outlook | howisthesargassum.com | visittci.com | thedailyherald.sx | puntacanatravelblog.com | oceanzaruba.com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22" customWidth="1" min="1" max="1"/>
    <col width="9" customWidth="1" min="2" max="2"/>
    <col width="62" customWidth="1" min="3" max="3"/>
    <col width="58" customWidth="1" min="4" max="4"/>
  </cols>
  <sheetData>
    <row r="1">
      <c r="A1" s="21" t="inlineStr">
        <is>
          <t>Scoring criteria — how each 1-10 score is produced</t>
        </is>
      </c>
    </row>
    <row r="3">
      <c r="A3" s="17" t="inlineStr">
        <is>
          <t>Criterion</t>
        </is>
      </c>
      <c r="B3" s="17" t="inlineStr">
        <is>
          <t>Weight</t>
        </is>
      </c>
      <c r="C3" s="17" t="inlineStr">
        <is>
          <t>How it is scored</t>
        </is>
      </c>
      <c r="D3" s="17" t="inlineStr">
        <is>
          <t>Source / assumption</t>
        </is>
      </c>
    </row>
    <row r="4">
      <c r="A4" s="22" t="inlineStr">
        <is>
          <t>Price / Value</t>
        </is>
      </c>
      <c r="B4" s="22" t="inlineStr">
        <is>
          <t>25</t>
        </is>
      </c>
      <c r="C4" s="22" t="inlineStr">
        <is>
          <t>FORMULA: 10 x cheapest option price / this option price</t>
        </is>
      </c>
      <c r="D4" s="22" t="inlineStr">
        <is>
          <t>Live CheapCaribbean totals 2026-07-17 (flight+hotel+taxes, 2 adults, $200 promo)</t>
        </is>
      </c>
    </row>
    <row r="5">
      <c r="A5" s="22" t="inlineStr">
        <is>
          <t>Flight time</t>
        </is>
      </c>
      <c r="B5" s="22" t="inlineStr">
        <is>
          <t>15</t>
        </is>
      </c>
      <c r="C5" s="22" t="inlineStr">
        <is>
          <t>FORMULA: 10 x shortest flight hrs / this option hrs</t>
        </is>
      </c>
      <c r="D5" s="22" t="inlineStr">
        <is>
          <t>From DTW: NAS 3.0, CUN 3.75 nonstop, MBJ 4.0, PUJ 4.25, GCM/PLS ~5 (1-stop), CZM ~5.5 (1-stop), SXM/ANU ~6, UVF/BGI ~6.5, AUA 6.7. Verify itinerary at checkout.</t>
        </is>
      </c>
    </row>
    <row r="6">
      <c r="A6" s="22" t="inlineStr">
        <is>
          <t>Beach clarity (Aug26)</t>
        </is>
      </c>
      <c r="B6" s="22" t="inlineStr">
        <is>
          <t>15</t>
        </is>
      </c>
      <c r="C6" s="22" t="inlineStr">
        <is>
          <t>JUDGMENT (blue): water clarity AT THAT BEACH IN AUGUST 2026, sargassum-adjusted per Conditions tab</t>
        </is>
      </c>
      <c r="D6" s="22" t="inlineStr">
        <is>
          <t>USF sargassum bulletins + live beach reports; NOT the brochure photo</t>
        </is>
      </c>
    </row>
    <row r="7">
      <c r="A7" s="22" t="inlineStr">
        <is>
          <t>Romance / AO</t>
        </is>
      </c>
      <c r="B7" s="22" t="inlineStr">
        <is>
          <t>10</t>
        </is>
      </c>
      <c r="C7" s="22" t="inlineStr">
        <is>
          <t>JUDGMENT: adults-only 9-10; family resorts capped ~7</t>
        </is>
      </c>
      <c r="D7" s="22" t="inlineStr"/>
    </row>
    <row r="8">
      <c r="A8" s="22" t="inlineStr">
        <is>
          <t>Reviews</t>
        </is>
      </c>
      <c r="B8" s="22" t="inlineStr">
        <is>
          <t>10</t>
        </is>
      </c>
      <c r="C8" s="22" t="inlineStr">
        <is>
          <t>FORMULA: MIN(10, 2xLOG10(reviews+1)+2)</t>
        </is>
      </c>
      <c r="D8" s="22" t="inlineStr">
        <is>
          <t>Counts from listings</t>
        </is>
      </c>
    </row>
    <row r="9">
      <c r="A9" s="22" t="inlineStr">
        <is>
          <t>Resort tier</t>
        </is>
      </c>
      <c r="B9" s="22" t="inlineStr">
        <is>
          <t>10</t>
        </is>
      </c>
      <c r="C9" s="22" t="inlineStr">
        <is>
          <t>JUDGMENT: Palace/Secrets/Zoetry class 9-10; standard 6-8</t>
        </is>
      </c>
      <c r="D9" s="22" t="inlineStr"/>
    </row>
    <row r="10">
      <c r="A10" s="22" t="inlineStr">
        <is>
          <t>Date flexibility</t>
        </is>
      </c>
      <c r="B10" s="22" t="inlineStr">
        <is>
          <t>5</t>
        </is>
      </c>
      <c r="C10" s="22" t="inlineStr">
        <is>
          <t>JUDGMENT informed by live Aug 8/9/10/11 checks - Aug 8 cheapest every time (DateCheck tab)</t>
        </is>
      </c>
      <c r="D10" s="22" t="inlineStr"/>
    </row>
    <row r="11">
      <c r="A11" s="22" t="inlineStr">
        <is>
          <t>Transfer ease</t>
        </is>
      </c>
      <c r="B11" s="22" t="inlineStr">
        <is>
          <t>5</t>
        </is>
      </c>
      <c r="C11" s="22" t="inlineStr">
        <is>
          <t>FORMULA: 10 x shortest airport distance / this distance</t>
        </is>
      </c>
      <c r="D11" s="22" t="inlineStr"/>
    </row>
    <row r="12">
      <c r="A12" s="22" t="inlineStr">
        <is>
          <t>Deal strength</t>
        </is>
      </c>
      <c r="B12" s="22" t="inlineStr">
        <is>
          <t>5</t>
        </is>
      </c>
      <c r="C12" s="22" t="inlineStr">
        <is>
          <t>JUDGMENT: promo depth vs typical; $200 Jet Set July live now</t>
        </is>
      </c>
      <c r="D12" s="22" t="inlineStr"/>
    </row>
    <row r="13">
      <c r="A13" s="22" t="inlineStr">
        <is>
          <t>Aug conditions risk</t>
        </is>
      </c>
      <c r="B13" s="22" t="inlineStr">
        <is>
          <t>10</t>
        </is>
      </c>
      <c r="C13" s="22" t="inlineStr">
        <is>
          <t>JUDGMENT (blue): combines sargassum risk + hurricane-belt exposure + August rain. Aruba 10 (immune), Cozumel/Negril/TCI 8, Costa Mujeres 7, Bahamas 5.5, Cancun HZ 4, Punta Cana 3.5</t>
        </is>
      </c>
      <c r="D13" s="22" t="inlineStr">
        <is>
          <t>NEW in v2. USF/CSU/NOAA + local reports, 2026-07-17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6" customWidth="1" min="6" max="6"/>
  </cols>
  <sheetData>
    <row r="1">
      <c r="A1" s="16" t="inlineStr">
        <is>
          <t>Date-shift check — Cancun marker resorts, per-person package price (2 adults, 7 nights)</t>
        </is>
      </c>
    </row>
    <row r="2">
      <c r="A2" s="2" t="inlineStr">
        <is>
          <t>Start allowed to slip Aug 8 - Aug 11 (keeping a week). Checked live 2026-07-17: Sat Aug 8 was CHEAPEST in every case.</t>
        </is>
      </c>
    </row>
    <row r="4">
      <c r="A4" s="23" t="inlineStr">
        <is>
          <t>Resort</t>
        </is>
      </c>
      <c r="B4" s="23" t="inlineStr">
        <is>
          <t>Aug 8-15</t>
        </is>
      </c>
      <c r="C4" s="23" t="inlineStr">
        <is>
          <t>Aug 9-16</t>
        </is>
      </c>
      <c r="D4" s="23" t="inlineStr">
        <is>
          <t>Aug 10-17</t>
        </is>
      </c>
      <c r="E4" s="23" t="inlineStr">
        <is>
          <t>Aug 11-18</t>
        </is>
      </c>
      <c r="F4" s="23" t="inlineStr">
        <is>
          <t>Cheapest start</t>
        </is>
      </c>
    </row>
    <row r="5">
      <c r="A5" s="24" t="inlineStr">
        <is>
          <t>Riu Latino (AO)</t>
        </is>
      </c>
      <c r="B5" s="25" t="n">
        <v>1206</v>
      </c>
      <c r="C5" s="25" t="n">
        <v>1307</v>
      </c>
      <c r="D5" s="25" t="n">
        <v>1274</v>
      </c>
      <c r="E5" s="25" t="n">
        <v>1241</v>
      </c>
      <c r="F5">
        <f>INDEX($B$4:$E$4,MATCH(MIN(B5:E5),B5:E5,0))</f>
        <v/>
      </c>
    </row>
    <row r="6">
      <c r="A6" s="24" t="inlineStr">
        <is>
          <t>Secrets The Vine (AO)</t>
        </is>
      </c>
      <c r="B6" s="25" t="n">
        <v>1462</v>
      </c>
      <c r="C6" s="25" t="n">
        <v>1561</v>
      </c>
      <c r="D6" s="25" t="n">
        <v>1500</v>
      </c>
      <c r="E6" s="25" t="n">
        <v>1472</v>
      </c>
      <c r="F6">
        <f>INDEX($B$4:$E$4,MATCH(MIN(B6:E6),B6:E6,0))</f>
        <v/>
      </c>
    </row>
    <row r="7">
      <c r="A7" s="24" t="inlineStr">
        <is>
          <t>Hotel Marina El Cid</t>
        </is>
      </c>
      <c r="B7" s="25" t="n">
        <v>1155</v>
      </c>
      <c r="C7" s="25" t="n">
        <v>1257</v>
      </c>
      <c r="D7" s="25" t="n">
        <v>1235</v>
      </c>
      <c r="E7" s="25" t="n">
        <v>1213</v>
      </c>
      <c r="F7">
        <f>INDEX($B$4:$E$4,MATCH(MIN(B7:E7),B7:E7,0))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92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2" customWidth="1" min="3" max="3"/>
    <col width="14" customWidth="1" min="4" max="4"/>
    <col width="9" customWidth="1" min="5" max="5"/>
    <col width="38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34" customWidth="1" min="12" max="12"/>
    <col width="44" customWidth="1" min="13" max="13"/>
  </cols>
  <sheetData>
    <row r="1">
      <c r="A1" s="16" t="inlineStr">
        <is>
          <t>All live price observations (PriceCheck table, data/FareScout.db)</t>
        </is>
      </c>
    </row>
    <row r="3">
      <c r="A3" s="26" t="inlineStr">
        <is>
          <t>CheckId</t>
        </is>
      </c>
      <c r="B3" s="26" t="inlineStr">
        <is>
          <t>CheckedAt</t>
        </is>
      </c>
      <c r="C3" s="26" t="inlineStr">
        <is>
          <t>TripId</t>
        </is>
      </c>
      <c r="D3" s="26" t="inlineStr">
        <is>
          <t>Source</t>
        </is>
      </c>
      <c r="E3" s="26" t="inlineStr">
        <is>
          <t>Kind</t>
        </is>
      </c>
      <c r="F3" s="26" t="inlineStr">
        <is>
          <t>RouteOrResort</t>
        </is>
      </c>
      <c r="G3" s="26" t="inlineStr">
        <is>
          <t>DepartDate</t>
        </is>
      </c>
      <c r="H3" s="26" t="inlineStr">
        <is>
          <t>ReturnDate</t>
        </is>
      </c>
      <c r="I3" s="26" t="inlineStr">
        <is>
          <t>TotalPrice</t>
        </is>
      </c>
      <c r="J3" s="26" t="inlineStr">
        <is>
          <t>PerPerson</t>
        </is>
      </c>
      <c r="K3" s="26" t="inlineStr">
        <is>
          <t>Status</t>
        </is>
      </c>
      <c r="L3" s="26" t="inlineStr">
        <is>
          <t>PromoNotes</t>
        </is>
      </c>
      <c r="M3" s="26" t="inlineStr">
        <is>
          <t>RawNotes</t>
        </is>
      </c>
    </row>
    <row r="4">
      <c r="A4" s="20" t="n">
        <v>2</v>
      </c>
      <c r="B4" s="20" t="inlineStr">
        <is>
          <t>2026-07-17T18:55:00</t>
        </is>
      </c>
      <c r="C4" s="20" t="inlineStr">
        <is>
          <t>ARUBA-001</t>
        </is>
      </c>
      <c r="D4" s="20" t="inlineStr">
        <is>
          <t>GoogleFlights</t>
        </is>
      </c>
      <c r="E4" s="20" t="inlineStr">
        <is>
          <t>Flight</t>
        </is>
      </c>
      <c r="F4" s="20" t="inlineStr">
        <is>
          <t>DTW-AUA</t>
        </is>
      </c>
      <c r="G4" s="20" t="inlineStr">
        <is>
          <t>2026-08-08</t>
        </is>
      </c>
      <c r="H4" s="20" t="inlineStr">
        <is>
          <t>2026-08-15</t>
        </is>
      </c>
      <c r="I4" s="27" t="n">
        <v>1842</v>
      </c>
      <c r="J4" s="27" t="n">
        <v>921</v>
      </c>
      <c r="K4" s="20" t="inlineStr">
        <is>
          <t>RED</t>
        </is>
      </c>
      <c r="L4" s="20" t="n"/>
      <c r="M4" s="20" t="inlineStr">
        <is>
          <t>5:20AM-12:00PM 6h40m; Google insight: prices HIGH; tip Aug5-13 $1140</t>
        </is>
      </c>
    </row>
    <row r="5">
      <c r="A5" s="20" t="n">
        <v>3</v>
      </c>
      <c r="B5" s="20" t="inlineStr">
        <is>
          <t>2026-07-17T18:55:00</t>
        </is>
      </c>
      <c r="C5" s="20" t="inlineStr">
        <is>
          <t>ARUBA-001</t>
        </is>
      </c>
      <c r="D5" s="20" t="inlineStr">
        <is>
          <t>GoogleFlights</t>
        </is>
      </c>
      <c r="E5" s="20" t="inlineStr">
        <is>
          <t>Flight</t>
        </is>
      </c>
      <c r="F5" s="20" t="inlineStr">
        <is>
          <t>DTW-AUA</t>
        </is>
      </c>
      <c r="G5" s="20" t="inlineStr">
        <is>
          <t>2026-08-08</t>
        </is>
      </c>
      <c r="H5" s="20" t="inlineStr">
        <is>
          <t>2026-08-15</t>
        </is>
      </c>
      <c r="I5" s="27" t="n">
        <v>1862</v>
      </c>
      <c r="J5" s="27" t="n">
        <v>931</v>
      </c>
      <c r="K5" s="20" t="inlineStr">
        <is>
          <t>RED</t>
        </is>
      </c>
      <c r="L5" s="20" t="n"/>
      <c r="M5" s="20" t="inlineStr">
        <is>
          <t>7:15AM-1:59PM 6h44m</t>
        </is>
      </c>
    </row>
    <row r="6">
      <c r="A6" s="20" t="n">
        <v>4</v>
      </c>
      <c r="B6" s="20" t="inlineStr">
        <is>
          <t>2026-07-17T18:55:00</t>
        </is>
      </c>
      <c r="C6" s="20" t="inlineStr">
        <is>
          <t>ARUBA-001</t>
        </is>
      </c>
      <c r="D6" s="20" t="inlineStr">
        <is>
          <t>GoogleFlights</t>
        </is>
      </c>
      <c r="E6" s="20" t="inlineStr">
        <is>
          <t>Flight</t>
        </is>
      </c>
      <c r="F6" s="20" t="inlineStr">
        <is>
          <t>DTW-AUA</t>
        </is>
      </c>
      <c r="G6" s="20" t="inlineStr">
        <is>
          <t>2026-08-08</t>
        </is>
      </c>
      <c r="H6" s="20" t="inlineStr">
        <is>
          <t>2026-08-15</t>
        </is>
      </c>
      <c r="I6" s="27" t="n">
        <v>2042</v>
      </c>
      <c r="J6" s="27" t="n">
        <v>1021</v>
      </c>
      <c r="K6" s="20" t="inlineStr">
        <is>
          <t>RED</t>
        </is>
      </c>
      <c r="L6" s="20" t="n"/>
      <c r="M6" s="20" t="inlineStr">
        <is>
          <t>7:20AM-2:10PM 6h50m</t>
        </is>
      </c>
    </row>
    <row r="7">
      <c r="A7" s="20" t="n">
        <v>5</v>
      </c>
      <c r="B7" s="20" t="inlineStr">
        <is>
          <t>2026-07-17T18:55:00</t>
        </is>
      </c>
      <c r="C7" s="20" t="inlineStr">
        <is>
          <t>ARUBA-001</t>
        </is>
      </c>
      <c r="D7" s="20" t="inlineStr">
        <is>
          <t>GoogleFlights</t>
        </is>
      </c>
      <c r="E7" s="20" t="inlineStr">
        <is>
          <t>Flight</t>
        </is>
      </c>
      <c r="F7" s="20" t="inlineStr">
        <is>
          <t>DTW-AUA</t>
        </is>
      </c>
      <c r="G7" s="20" t="inlineStr">
        <is>
          <t>2026-08-08</t>
        </is>
      </c>
      <c r="H7" s="20" t="inlineStr">
        <is>
          <t>2026-08-15</t>
        </is>
      </c>
      <c r="I7" s="27" t="n">
        <v>2094</v>
      </c>
      <c r="J7" s="27" t="n">
        <v>1047</v>
      </c>
      <c r="K7" s="20" t="inlineStr">
        <is>
          <t>RED</t>
        </is>
      </c>
      <c r="L7" s="20" t="n"/>
      <c r="M7" s="20" t="inlineStr">
        <is>
          <t>7:30AM-4:40PM 9h10m long layover 2h24m</t>
        </is>
      </c>
    </row>
    <row r="8">
      <c r="A8" s="20" t="n">
        <v>6</v>
      </c>
      <c r="B8" s="20" t="inlineStr">
        <is>
          <t>2026-07-17T18:55:00</t>
        </is>
      </c>
      <c r="C8" s="20" t="inlineStr">
        <is>
          <t>ARUBA-001</t>
        </is>
      </c>
      <c r="D8" s="20" t="inlineStr">
        <is>
          <t>GoogleFlights</t>
        </is>
      </c>
      <c r="E8" s="20" t="inlineStr">
        <is>
          <t>Flight</t>
        </is>
      </c>
      <c r="F8" s="20" t="inlineStr">
        <is>
          <t>DTW-AUA</t>
        </is>
      </c>
      <c r="G8" s="20" t="inlineStr">
        <is>
          <t>2026-08-08</t>
        </is>
      </c>
      <c r="H8" s="20" t="inlineStr">
        <is>
          <t>2026-08-15</t>
        </is>
      </c>
      <c r="I8" s="27" t="n">
        <v>2730</v>
      </c>
      <c r="J8" s="27" t="n">
        <v>1365</v>
      </c>
      <c r="K8" s="20" t="inlineStr">
        <is>
          <t>RED</t>
        </is>
      </c>
      <c r="L8" s="20" t="n"/>
      <c r="M8" s="20" t="inlineStr">
        <is>
          <t>6:00AM-12:40PM 6h40m</t>
        </is>
      </c>
    </row>
    <row r="9">
      <c r="A9" s="20" t="n">
        <v>7</v>
      </c>
      <c r="B9" s="20" t="inlineStr">
        <is>
          <t>2026-07-17T18:55:00</t>
        </is>
      </c>
      <c r="C9" s="20" t="inlineStr">
        <is>
          <t>ARUBA-001</t>
        </is>
      </c>
      <c r="D9" s="20" t="inlineStr">
        <is>
          <t>GoogleFlights</t>
        </is>
      </c>
      <c r="E9" s="20" t="inlineStr">
        <is>
          <t>Flight</t>
        </is>
      </c>
      <c r="F9" s="20" t="inlineStr">
        <is>
          <t>DTW-AUA</t>
        </is>
      </c>
      <c r="G9" s="20" t="inlineStr">
        <is>
          <t>2026-08-08</t>
        </is>
      </c>
      <c r="H9" s="20" t="inlineStr">
        <is>
          <t>2026-08-16</t>
        </is>
      </c>
      <c r="I9" s="27" t="n">
        <v>1872</v>
      </c>
      <c r="J9" s="27" t="n">
        <v>936</v>
      </c>
      <c r="K9" s="20" t="inlineStr">
        <is>
          <t>RED</t>
        </is>
      </c>
      <c r="L9" s="20" t="n"/>
      <c r="M9" s="20" t="inlineStr">
        <is>
          <t>7:15AM-1:59PM 6h44m; Google insight: prices HIGH</t>
        </is>
      </c>
    </row>
    <row r="10">
      <c r="A10" s="20" t="n">
        <v>8</v>
      </c>
      <c r="B10" s="20" t="inlineStr">
        <is>
          <t>2026-07-17T18:55:00</t>
        </is>
      </c>
      <c r="C10" s="20" t="inlineStr">
        <is>
          <t>ARUBA-001</t>
        </is>
      </c>
      <c r="D10" s="20" t="inlineStr">
        <is>
          <t>GoogleFlights</t>
        </is>
      </c>
      <c r="E10" s="20" t="inlineStr">
        <is>
          <t>Flight</t>
        </is>
      </c>
      <c r="F10" s="20" t="inlineStr">
        <is>
          <t>DTW-AUA</t>
        </is>
      </c>
      <c r="G10" s="20" t="inlineStr">
        <is>
          <t>2026-08-08</t>
        </is>
      </c>
      <c r="H10" s="20" t="inlineStr">
        <is>
          <t>2026-08-16</t>
        </is>
      </c>
      <c r="I10" s="27" t="n">
        <v>2160</v>
      </c>
      <c r="J10" s="27" t="n">
        <v>1080</v>
      </c>
      <c r="K10" s="20" t="inlineStr">
        <is>
          <t>RED</t>
        </is>
      </c>
      <c r="L10" s="20" t="n"/>
      <c r="M10" s="20" t="inlineStr">
        <is>
          <t>5:20AM-12:00PM 6h40m</t>
        </is>
      </c>
    </row>
    <row r="11">
      <c r="A11" s="20" t="n">
        <v>9</v>
      </c>
      <c r="B11" s="20" t="inlineStr">
        <is>
          <t>2026-07-17T18:55:00</t>
        </is>
      </c>
      <c r="C11" s="20" t="inlineStr">
        <is>
          <t>ARUBA-001</t>
        </is>
      </c>
      <c r="D11" s="20" t="inlineStr">
        <is>
          <t>GoogleFlights</t>
        </is>
      </c>
      <c r="E11" s="20" t="inlineStr">
        <is>
          <t>Flight</t>
        </is>
      </c>
      <c r="F11" s="20" t="inlineStr">
        <is>
          <t>DTW-AUA</t>
        </is>
      </c>
      <c r="G11" s="20" t="inlineStr">
        <is>
          <t>2026-08-08</t>
        </is>
      </c>
      <c r="H11" s="20" t="inlineStr">
        <is>
          <t>2026-08-16</t>
        </is>
      </c>
      <c r="I11" s="27" t="n">
        <v>2211</v>
      </c>
      <c r="J11" s="27" t="n">
        <v>1105.5</v>
      </c>
      <c r="K11" s="20" t="inlineStr">
        <is>
          <t>RED</t>
        </is>
      </c>
      <c r="L11" s="20" t="n"/>
      <c r="M11" s="20" t="inlineStr">
        <is>
          <t>5:35PM-1:40PM+1 20h5m overnight</t>
        </is>
      </c>
    </row>
    <row r="12">
      <c r="A12" s="20" t="n">
        <v>10</v>
      </c>
      <c r="B12" s="20" t="inlineStr">
        <is>
          <t>2026-07-17T18:55:00</t>
        </is>
      </c>
      <c r="C12" s="20" t="inlineStr">
        <is>
          <t>ARUBA-001</t>
        </is>
      </c>
      <c r="D12" s="20" t="inlineStr">
        <is>
          <t>GoogleFlights</t>
        </is>
      </c>
      <c r="E12" s="20" t="inlineStr">
        <is>
          <t>Flight</t>
        </is>
      </c>
      <c r="F12" s="20" t="inlineStr">
        <is>
          <t>DTW-AUA</t>
        </is>
      </c>
      <c r="G12" s="20" t="inlineStr">
        <is>
          <t>2026-08-08</t>
        </is>
      </c>
      <c r="H12" s="20" t="inlineStr">
        <is>
          <t>2026-08-16</t>
        </is>
      </c>
      <c r="I12" s="27" t="n">
        <v>2262</v>
      </c>
      <c r="J12" s="27" t="n">
        <v>1131</v>
      </c>
      <c r="K12" s="20" t="inlineStr">
        <is>
          <t>RED</t>
        </is>
      </c>
      <c r="L12" s="20" t="n"/>
      <c r="M12" s="20" t="inlineStr">
        <is>
          <t>7:30AM-4:40PM 9h10m</t>
        </is>
      </c>
    </row>
    <row r="13">
      <c r="A13" s="20" t="n">
        <v>11</v>
      </c>
      <c r="B13" s="20" t="inlineStr">
        <is>
          <t>2026-07-17T18:55:00</t>
        </is>
      </c>
      <c r="C13" s="20" t="inlineStr">
        <is>
          <t>ARUBA-001</t>
        </is>
      </c>
      <c r="D13" s="20" t="inlineStr">
        <is>
          <t>GoogleFlights</t>
        </is>
      </c>
      <c r="E13" s="20" t="inlineStr">
        <is>
          <t>Flight</t>
        </is>
      </c>
      <c r="F13" s="20" t="inlineStr">
        <is>
          <t>DTW-AUA</t>
        </is>
      </c>
      <c r="G13" s="20" t="inlineStr">
        <is>
          <t>2026-08-08</t>
        </is>
      </c>
      <c r="H13" s="20" t="inlineStr">
        <is>
          <t>2026-08-16</t>
        </is>
      </c>
      <c r="I13" s="27" t="n">
        <v>2432</v>
      </c>
      <c r="J13" s="27" t="n">
        <v>1216</v>
      </c>
      <c r="K13" s="20" t="inlineStr">
        <is>
          <t>RED</t>
        </is>
      </c>
      <c r="L13" s="20" t="n"/>
      <c r="M13" s="20" t="inlineStr">
        <is>
          <t>6:00AM-1:30PM 7h30m</t>
        </is>
      </c>
    </row>
    <row r="14">
      <c r="A14" s="20" t="n">
        <v>12</v>
      </c>
      <c r="B14" s="20" t="inlineStr">
        <is>
          <t>2026-07-17T19:05:00</t>
        </is>
      </c>
      <c r="C14" s="20" t="inlineStr">
        <is>
          <t>ARUBA-001</t>
        </is>
      </c>
      <c r="D14" s="20" t="inlineStr">
        <is>
          <t>Riu</t>
        </is>
      </c>
      <c r="E14" s="20" t="inlineStr">
        <is>
          <t>Package</t>
        </is>
      </c>
      <c r="F14" s="20" t="inlineStr">
        <is>
          <t>Riu Palace Aruba</t>
        </is>
      </c>
      <c r="G14" s="20" t="inlineStr">
        <is>
          <t>2026-08-08</t>
        </is>
      </c>
      <c r="H14" s="20" t="inlineStr">
        <is>
          <t>2026-08-15</t>
        </is>
      </c>
      <c r="I14" s="27" t="n">
        <v>6034</v>
      </c>
      <c r="J14" s="27" t="n">
        <v>3017</v>
      </c>
      <c r="K14" s="20" t="inlineStr">
        <is>
          <t>RED</t>
        </is>
      </c>
      <c r="L14" s="20" t="inlineStr">
        <is>
          <t>100% off flights promo</t>
        </is>
      </c>
      <c r="M14" s="20" t="inlineStr">
        <is>
          <t>Promo '100% off flights'; was $4595/traveler now $3017/traveler; fully refundable; 8.2/10 (1762 reviews)</t>
        </is>
      </c>
    </row>
    <row r="15">
      <c r="A15" s="20" t="n">
        <v>13</v>
      </c>
      <c r="B15" s="20" t="inlineStr">
        <is>
          <t>2026-07-17T19:05:00</t>
        </is>
      </c>
      <c r="C15" s="20" t="inlineStr">
        <is>
          <t>ARUBA-001</t>
        </is>
      </c>
      <c r="D15" s="20" t="inlineStr">
        <is>
          <t>Riu</t>
        </is>
      </c>
      <c r="E15" s="20" t="inlineStr">
        <is>
          <t>Package</t>
        </is>
      </c>
      <c r="F15" s="20" t="inlineStr">
        <is>
          <t>Riu Palace Antillas (Adults Only)</t>
        </is>
      </c>
      <c r="G15" s="20" t="inlineStr">
        <is>
          <t>2026-08-08</t>
        </is>
      </c>
      <c r="H15" s="20" t="inlineStr">
        <is>
          <t>2026-08-15</t>
        </is>
      </c>
      <c r="I15" s="27" t="n">
        <v>7213</v>
      </c>
      <c r="J15" s="27" t="n">
        <v>3607</v>
      </c>
      <c r="K15" s="20" t="inlineStr">
        <is>
          <t>RED</t>
        </is>
      </c>
      <c r="L15" s="20" t="inlineStr">
        <is>
          <t>100% off flights promo</t>
        </is>
      </c>
      <c r="M15" s="20" t="inlineStr">
        <is>
          <t>Promo '100% off flights'; was $5849/traveler now $3607/traveler; fully refundable; 8.6/10 (1656 reviews)</t>
        </is>
      </c>
    </row>
    <row r="16">
      <c r="A16" s="20" t="n">
        <v>14</v>
      </c>
      <c r="B16" s="20" t="inlineStr">
        <is>
          <t>2026-07-17T19:15:00</t>
        </is>
      </c>
      <c r="C16" s="20" t="inlineStr">
        <is>
          <t>ARUBA-001</t>
        </is>
      </c>
      <c r="D16" s="20" t="inlineStr">
        <is>
          <t>CheapCaribbean</t>
        </is>
      </c>
      <c r="E16" s="20" t="inlineStr">
        <is>
          <t>Package</t>
        </is>
      </c>
      <c r="F16" s="20" t="inlineStr">
        <is>
          <t>Riu Palace Antillas (Adults Only)</t>
        </is>
      </c>
      <c r="G16" s="20" t="inlineStr">
        <is>
          <t>2026-08-08</t>
        </is>
      </c>
      <c r="H16" s="20" t="inlineStr">
        <is>
          <t>2026-08-15</t>
        </is>
      </c>
      <c r="I16" s="27" t="n">
        <v>6924</v>
      </c>
      <c r="J16" s="27" t="n">
        <v>3462</v>
      </c>
      <c r="K16" s="20" t="inlineStr">
        <is>
          <t>RED</t>
        </is>
      </c>
      <c r="L16" s="20" t="inlineStr">
        <is>
          <t>$200 Jet Set July discount applied; price incl hotel+flights+taxes</t>
        </is>
      </c>
      <c r="M16" s="20" t="inlineStr">
        <is>
          <t>Elite Club by RIU badge; 4-star; Palm Beach 5.1mi from AUA</t>
        </is>
      </c>
    </row>
    <row r="17">
      <c r="A17" s="20" t="n">
        <v>15</v>
      </c>
      <c r="B17" s="20" t="inlineStr">
        <is>
          <t>2026-07-17T19:15:00</t>
        </is>
      </c>
      <c r="C17" s="20" t="inlineStr">
        <is>
          <t>ARUBA-001</t>
        </is>
      </c>
      <c r="D17" s="20" t="inlineStr">
        <is>
          <t>CheapCaribbean</t>
        </is>
      </c>
      <c r="E17" s="20" t="inlineStr">
        <is>
          <t>Package</t>
        </is>
      </c>
      <c r="F17" s="20" t="inlineStr">
        <is>
          <t>Riu Palace Aruba</t>
        </is>
      </c>
      <c r="G17" s="20" t="inlineStr">
        <is>
          <t>2026-08-08</t>
        </is>
      </c>
      <c r="H17" s="20" t="inlineStr">
        <is>
          <t>2026-08-15</t>
        </is>
      </c>
      <c r="I17" s="27" t="n">
        <v>5972</v>
      </c>
      <c r="J17" s="27" t="n">
        <v>2986</v>
      </c>
      <c r="K17" s="20" t="inlineStr">
        <is>
          <t>RED</t>
        </is>
      </c>
      <c r="L17" s="20" t="inlineStr">
        <is>
          <t>$200 Jet Set July discount applied; price incl hotel+flights+taxes</t>
        </is>
      </c>
      <c r="M17" s="20" t="inlineStr">
        <is>
          <t>4-star; 9500 reviews; 5.1mi from AUA</t>
        </is>
      </c>
    </row>
    <row r="18">
      <c r="A18" s="20" t="n">
        <v>16</v>
      </c>
      <c r="B18" s="20" t="inlineStr">
        <is>
          <t>2026-07-17T19:15:00</t>
        </is>
      </c>
      <c r="C18" s="20" t="inlineStr">
        <is>
          <t>ARUBA-001</t>
        </is>
      </c>
      <c r="D18" s="20" t="inlineStr">
        <is>
          <t>CheapCaribbean</t>
        </is>
      </c>
      <c r="E18" s="20" t="inlineStr">
        <is>
          <t>Package</t>
        </is>
      </c>
      <c r="F18" s="20" t="inlineStr">
        <is>
          <t>Barcelo Aruba</t>
        </is>
      </c>
      <c r="G18" s="20" t="inlineStr">
        <is>
          <t>2026-08-08</t>
        </is>
      </c>
      <c r="H18" s="20" t="inlineStr">
        <is>
          <t>2026-08-15</t>
        </is>
      </c>
      <c r="I18" s="27" t="n">
        <v>6968</v>
      </c>
      <c r="J18" s="27" t="n">
        <v>3484</v>
      </c>
      <c r="K18" s="20" t="inlineStr">
        <is>
          <t>RED</t>
        </is>
      </c>
      <c r="L18" s="20" t="inlineStr">
        <is>
          <t>$200 Jet Set July discount applied; price incl hotel+flights+taxes</t>
        </is>
      </c>
      <c r="M18" s="20" t="inlineStr">
        <is>
          <t>4-star; 12983 reviews; Beach 5.3mi from AUA</t>
        </is>
      </c>
    </row>
    <row r="19">
      <c r="A19" s="20" t="n">
        <v>17</v>
      </c>
      <c r="B19" s="20" t="inlineStr">
        <is>
          <t>2026-07-17T19:25:00</t>
        </is>
      </c>
      <c r="C19" s="20" t="inlineStr">
        <is>
          <t>ARUBA-001</t>
        </is>
      </c>
      <c r="D19" s="20" t="inlineStr">
        <is>
          <t>Expedia</t>
        </is>
      </c>
      <c r="E19" s="20" t="inlineStr">
        <is>
          <t>Hotel</t>
        </is>
      </c>
      <c r="F19" s="20" t="inlineStr">
        <is>
          <t>Riu Palace Antillas (Adults Only)</t>
        </is>
      </c>
      <c r="G19" s="20" t="inlineStr">
        <is>
          <t>2026-08-08</t>
        </is>
      </c>
      <c r="H19" s="20" t="inlineStr">
        <is>
          <t>2026-08-15</t>
        </is>
      </c>
      <c r="I19" s="27" t="n">
        <v>6537</v>
      </c>
      <c r="J19" s="27" t="n">
        <v>3268.5</v>
      </c>
      <c r="K19" s="20" t="inlineStr">
        <is>
          <t>RED</t>
        </is>
      </c>
      <c r="L19" s="20" t="inlineStr">
        <is>
          <t>$827/night; total w/ taxes+fees</t>
        </is>
      </c>
      <c r="M19" s="20" t="inlineStr">
        <is>
          <t>was $11866; 4 left at this price; fully refundable</t>
        </is>
      </c>
    </row>
    <row r="20">
      <c r="A20" s="20" t="n">
        <v>18</v>
      </c>
      <c r="B20" s="20" t="inlineStr">
        <is>
          <t>2026-07-17T19:25:00</t>
        </is>
      </c>
      <c r="C20" s="20" t="inlineStr">
        <is>
          <t>ARUBA-001</t>
        </is>
      </c>
      <c r="D20" s="20" t="inlineStr">
        <is>
          <t>Expedia</t>
        </is>
      </c>
      <c r="E20" s="20" t="inlineStr">
        <is>
          <t>Hotel</t>
        </is>
      </c>
      <c r="F20" s="20" t="inlineStr">
        <is>
          <t>Riu Palace Aruba</t>
        </is>
      </c>
      <c r="G20" s="20" t="inlineStr">
        <is>
          <t>2026-08-08</t>
        </is>
      </c>
      <c r="H20" s="20" t="inlineStr">
        <is>
          <t>2026-08-15</t>
        </is>
      </c>
      <c r="I20" s="27" t="n">
        <v>5560</v>
      </c>
      <c r="J20" s="27" t="n">
        <v>2780</v>
      </c>
      <c r="K20" s="20" t="inlineStr">
        <is>
          <t>RED</t>
        </is>
      </c>
      <c r="L20" s="20" t="inlineStr">
        <is>
          <t>$703/night; total w/ taxes+fees</t>
        </is>
      </c>
      <c r="M20" s="20" t="inlineStr">
        <is>
          <t>was $9250; fully refundable</t>
        </is>
      </c>
    </row>
    <row r="21">
      <c r="A21" s="20" t="n">
        <v>19</v>
      </c>
      <c r="B21" s="20" t="inlineStr">
        <is>
          <t>2026-07-17T19:25:00</t>
        </is>
      </c>
      <c r="C21" s="20" t="inlineStr">
        <is>
          <t>ARUBA-001</t>
        </is>
      </c>
      <c r="D21" s="20" t="inlineStr">
        <is>
          <t>Expedia</t>
        </is>
      </c>
      <c r="E21" s="20" t="inlineStr">
        <is>
          <t>Hotel</t>
        </is>
      </c>
      <c r="F21" s="20" t="inlineStr">
        <is>
          <t>Barcelo Aruba</t>
        </is>
      </c>
      <c r="G21" s="20" t="inlineStr">
        <is>
          <t>2026-08-08</t>
        </is>
      </c>
      <c r="H21" s="20" t="inlineStr">
        <is>
          <t>2026-08-15</t>
        </is>
      </c>
      <c r="I21" s="27" t="n">
        <v>5999</v>
      </c>
      <c r="J21" s="27" t="n">
        <v>2999.5</v>
      </c>
      <c r="K21" s="20" t="inlineStr">
        <is>
          <t>RED</t>
        </is>
      </c>
      <c r="L21" s="20" t="inlineStr">
        <is>
          <t>$728/night; total w/ taxes+fees</t>
        </is>
      </c>
      <c r="M21" s="20" t="inlineStr">
        <is>
          <t>was $9216 ($3217 off); 1 left at this price</t>
        </is>
      </c>
    </row>
    <row r="22">
      <c r="A22" s="20" t="n">
        <v>20</v>
      </c>
      <c r="B22" s="20" t="inlineStr">
        <is>
          <t>2026-07-17T19:35:00</t>
        </is>
      </c>
      <c r="C22" s="20" t="inlineStr">
        <is>
          <t>ARUBA-001</t>
        </is>
      </c>
      <c r="D22" s="20" t="inlineStr">
        <is>
          <t>Kayak</t>
        </is>
      </c>
      <c r="E22" s="20" t="inlineStr">
        <is>
          <t>Hotel</t>
        </is>
      </c>
      <c r="F22" s="20" t="inlineStr">
        <is>
          <t>Riu Palace Aruba</t>
        </is>
      </c>
      <c r="G22" s="20" t="inlineStr">
        <is>
          <t>2026-08-08</t>
        </is>
      </c>
      <c r="H22" s="20" t="inlineStr">
        <is>
          <t>2026-08-15</t>
        </is>
      </c>
      <c r="I22" s="27" t="n">
        <v>4921</v>
      </c>
      <c r="J22" s="27" t="n">
        <v>2460.5</v>
      </c>
      <c r="K22" s="20" t="inlineStr">
        <is>
          <t>RED</t>
        </is>
      </c>
      <c r="L22" s="20" t="inlineStr">
        <is>
          <t>$703/night cross-check</t>
        </is>
      </c>
      <c r="M22" s="20" t="inlineStr">
        <is>
          <t>Nightly $703 AI (Expedia/Hotels.com), book-direct $702, low option Pricetravel $620; nightly incl fees BEFORE taxes; 7nt approx $4921</t>
        </is>
      </c>
    </row>
    <row r="23">
      <c r="A23" s="20" t="n">
        <v>21</v>
      </c>
      <c r="B23" s="20" t="inlineStr">
        <is>
          <t>2026-07-17T19:35:00</t>
        </is>
      </c>
      <c r="C23" s="20" t="inlineStr">
        <is>
          <t>ARUBA-001</t>
        </is>
      </c>
      <c r="D23" s="20" t="inlineStr">
        <is>
          <t>Kayak</t>
        </is>
      </c>
      <c r="E23" s="20" t="inlineStr">
        <is>
          <t>Hotel</t>
        </is>
      </c>
      <c r="F23" s="20" t="inlineStr">
        <is>
          <t>Riu Palace Antillas (Adults Only)</t>
        </is>
      </c>
      <c r="G23" s="20" t="inlineStr">
        <is>
          <t>2026-08-08</t>
        </is>
      </c>
      <c r="H23" s="20" t="inlineStr">
        <is>
          <t>2026-08-15</t>
        </is>
      </c>
      <c r="I23" s="27" t="n">
        <v>5782</v>
      </c>
      <c r="J23" s="27" t="n">
        <v>2891</v>
      </c>
      <c r="K23" s="20" t="inlineStr">
        <is>
          <t>RED</t>
        </is>
      </c>
      <c r="L23" s="20" t="inlineStr">
        <is>
          <t>$826/night cross-check</t>
        </is>
      </c>
      <c r="M23" s="20" t="inlineStr">
        <is>
          <t>Nightly $826 (Agoda), Expedia $928 AI, Super.com $693 AI; before taxes; 7nt approx $5782</t>
        </is>
      </c>
    </row>
    <row r="24">
      <c r="A24" s="20" t="n">
        <v>22</v>
      </c>
      <c r="B24" s="20" t="inlineStr">
        <is>
          <t>2026-07-17T19:35:00</t>
        </is>
      </c>
      <c r="C24" s="20" t="inlineStr">
        <is>
          <t>ARUBA-001</t>
        </is>
      </c>
      <c r="D24" s="20" t="inlineStr">
        <is>
          <t>Kayak</t>
        </is>
      </c>
      <c r="E24" s="20" t="inlineStr">
        <is>
          <t>Hotel</t>
        </is>
      </c>
      <c r="F24" s="20" t="inlineStr">
        <is>
          <t>Barcelo Aruba</t>
        </is>
      </c>
      <c r="G24" s="20" t="inlineStr">
        <is>
          <t>2026-08-08</t>
        </is>
      </c>
      <c r="H24" s="20" t="inlineStr">
        <is>
          <t>2026-08-15</t>
        </is>
      </c>
      <c r="I24" s="27" t="n">
        <v>4340</v>
      </c>
      <c r="J24" s="27" t="n">
        <v>2170</v>
      </c>
      <c r="K24" s="20" t="inlineStr">
        <is>
          <t>RED</t>
        </is>
      </c>
      <c r="L24" s="20" t="inlineStr">
        <is>
          <t>$620/night cross-check</t>
        </is>
      </c>
      <c r="M24" s="20" t="inlineStr">
        <is>
          <t>Book DIRECT Barcelo.com $620 nightly cheapest; Expedia $763 AI; Agoda $773 w/breakfast; before taxes; 7nt approx $4340</t>
        </is>
      </c>
    </row>
    <row r="25">
      <c r="A25" s="20" t="n">
        <v>23</v>
      </c>
      <c r="B25" s="20" t="inlineStr">
        <is>
          <t>2026-07-17T20:00:00</t>
        </is>
      </c>
      <c r="C25" s="20" t="inlineStr">
        <is>
          <t>SCOUT-CUN</t>
        </is>
      </c>
      <c r="D25" s="20" t="inlineStr">
        <is>
          <t>CheapCaribbean</t>
        </is>
      </c>
      <c r="E25" s="20" t="inlineStr">
        <is>
          <t>Package</t>
        </is>
      </c>
      <c r="F25" s="20" t="inlineStr">
        <is>
          <t>Riu Tequila - AI</t>
        </is>
      </c>
      <c r="G25" s="20" t="inlineStr">
        <is>
          <t>2026-08-08</t>
        </is>
      </c>
      <c r="H25" s="20" t="inlineStr">
        <is>
          <t>2026-08-15</t>
        </is>
      </c>
      <c r="I25" s="27" t="n">
        <v>1970</v>
      </c>
      <c r="J25" s="27" t="n">
        <v>985</v>
      </c>
      <c r="K25" s="20" t="n"/>
      <c r="L25" s="20" t="inlineStr">
        <is>
          <t>$200 Jet Set July discount applied; hotel+flights+taxes from DTW</t>
        </is>
      </c>
      <c r="M25" s="20" t="inlineStr">
        <is>
          <t>4-star; 12758 reviews; Playa del Carmen OFF-beach (shuttle to beach); cheapest found</t>
        </is>
      </c>
    </row>
    <row r="26">
      <c r="A26" s="20" t="n">
        <v>24</v>
      </c>
      <c r="B26" s="20" t="inlineStr">
        <is>
          <t>2026-07-17T20:00:00</t>
        </is>
      </c>
      <c r="C26" s="20" t="inlineStr">
        <is>
          <t>SCOUT-CUN</t>
        </is>
      </c>
      <c r="D26" s="20" t="inlineStr">
        <is>
          <t>CheapCaribbean</t>
        </is>
      </c>
      <c r="E26" s="20" t="inlineStr">
        <is>
          <t>Package</t>
        </is>
      </c>
      <c r="F26" s="20" t="inlineStr">
        <is>
          <t>Riu Yucatan - AI</t>
        </is>
      </c>
      <c r="G26" s="20" t="inlineStr">
        <is>
          <t>2026-08-08</t>
        </is>
      </c>
      <c r="H26" s="20" t="inlineStr">
        <is>
          <t>2026-08-15</t>
        </is>
      </c>
      <c r="I26" s="27" t="n">
        <v>2134</v>
      </c>
      <c r="J26" s="27" t="n">
        <v>1067</v>
      </c>
      <c r="K26" s="20" t="n"/>
      <c r="L26" s="20" t="inlineStr">
        <is>
          <t>$200 Jet Set July discount applied; hotel+flights+taxes from DTW</t>
        </is>
      </c>
      <c r="M26" s="20" t="inlineStr">
        <is>
          <t>4-star; 9389 reviews; Playa del Carmen beachfront</t>
        </is>
      </c>
    </row>
    <row r="27">
      <c r="A27" s="20" t="n">
        <v>25</v>
      </c>
      <c r="B27" s="20" t="inlineStr">
        <is>
          <t>2026-07-17T20:00:00</t>
        </is>
      </c>
      <c r="C27" s="20" t="inlineStr">
        <is>
          <t>SCOUT-CUN</t>
        </is>
      </c>
      <c r="D27" s="20" t="inlineStr">
        <is>
          <t>CheapCaribbean</t>
        </is>
      </c>
      <c r="E27" s="20" t="inlineStr">
        <is>
          <t>Package</t>
        </is>
      </c>
      <c r="F27" s="20" t="inlineStr">
        <is>
          <t>Catalonia Riviera Maya - AI</t>
        </is>
      </c>
      <c r="G27" s="20" t="inlineStr">
        <is>
          <t>2026-08-08</t>
        </is>
      </c>
      <c r="H27" s="20" t="inlineStr">
        <is>
          <t>2026-08-15</t>
        </is>
      </c>
      <c r="I27" s="27" t="n">
        <v>2144</v>
      </c>
      <c r="J27" s="27" t="n">
        <v>1072</v>
      </c>
      <c r="K27" s="20" t="n"/>
      <c r="L27" s="20" t="inlineStr">
        <is>
          <t>$200 Jet Set July discount applied; hotel+flights+taxes from DTW</t>
        </is>
      </c>
      <c r="M27" s="20" t="inlineStr">
        <is>
          <t>5-star; 3183 reviews; Riviera Maya beach; 43mi from CUN</t>
        </is>
      </c>
    </row>
    <row r="28">
      <c r="A28" s="20" t="n">
        <v>26</v>
      </c>
      <c r="B28" s="20" t="inlineStr">
        <is>
          <t>2026-07-17T20:00:00</t>
        </is>
      </c>
      <c r="C28" s="20" t="inlineStr">
        <is>
          <t>SCOUT-CUN</t>
        </is>
      </c>
      <c r="D28" s="20" t="inlineStr">
        <is>
          <t>CheapCaribbean</t>
        </is>
      </c>
      <c r="E28" s="20" t="inlineStr">
        <is>
          <t>Package</t>
        </is>
      </c>
      <c r="F28" s="20" t="inlineStr">
        <is>
          <t>Hotel Marina El Cid Spa &amp; Beach - AI</t>
        </is>
      </c>
      <c r="G28" s="20" t="inlineStr">
        <is>
          <t>2026-08-08</t>
        </is>
      </c>
      <c r="H28" s="20" t="inlineStr">
        <is>
          <t>2026-08-15</t>
        </is>
      </c>
      <c r="I28" s="27" t="n">
        <v>2310</v>
      </c>
      <c r="J28" s="27" t="n">
        <v>1155</v>
      </c>
      <c r="K28" s="20" t="n"/>
      <c r="L28" s="20" t="inlineStr">
        <is>
          <t>$200 Jet Set July discount applied; hotel+flights+taxes from DTW</t>
        </is>
      </c>
      <c r="M28" s="20" t="inlineStr">
        <is>
          <t>4.5-star; 10786 reviews; Puerto Morelos beachfront</t>
        </is>
      </c>
    </row>
    <row r="29">
      <c r="A29" s="20" t="n">
        <v>27</v>
      </c>
      <c r="B29" s="20" t="inlineStr">
        <is>
          <t>2026-07-17T20:00:00</t>
        </is>
      </c>
      <c r="C29" s="20" t="inlineStr">
        <is>
          <t>SCOUT-CUN</t>
        </is>
      </c>
      <c r="D29" s="20" t="inlineStr">
        <is>
          <t>CheapCaribbean</t>
        </is>
      </c>
      <c r="E29" s="20" t="inlineStr">
        <is>
          <t>Package</t>
        </is>
      </c>
      <c r="F29" s="20" t="inlineStr">
        <is>
          <t>Riu Dunamar - AI</t>
        </is>
      </c>
      <c r="G29" s="20" t="inlineStr">
        <is>
          <t>2026-08-08</t>
        </is>
      </c>
      <c r="H29" s="20" t="inlineStr">
        <is>
          <t>2026-08-15</t>
        </is>
      </c>
      <c r="I29" s="27" t="n">
        <v>2386</v>
      </c>
      <c r="J29" s="27" t="n">
        <v>1193</v>
      </c>
      <c r="K29" s="20" t="n"/>
      <c r="L29" s="20" t="inlineStr">
        <is>
          <t>$200 Jet Set July discount applied; hotel+flights+taxes from DTW</t>
        </is>
      </c>
      <c r="M29" s="20" t="inlineStr">
        <is>
          <t>4-star; 5186 reviews; Costa Mujeres beach</t>
        </is>
      </c>
    </row>
    <row r="30">
      <c r="A30" s="20" t="n">
        <v>28</v>
      </c>
      <c r="B30" s="20" t="inlineStr">
        <is>
          <t>2026-07-17T20:00:00</t>
        </is>
      </c>
      <c r="C30" s="20" t="inlineStr">
        <is>
          <t>SCOUT-CUN</t>
        </is>
      </c>
      <c r="D30" s="20" t="inlineStr">
        <is>
          <t>CheapCaribbean</t>
        </is>
      </c>
      <c r="E30" s="20" t="inlineStr">
        <is>
          <t>Package</t>
        </is>
      </c>
      <c r="F30" s="20" t="inlineStr">
        <is>
          <t>Riu Latino - AI - Adults Only</t>
        </is>
      </c>
      <c r="G30" s="20" t="inlineStr">
        <is>
          <t>2026-08-08</t>
        </is>
      </c>
      <c r="H30" s="20" t="inlineStr">
        <is>
          <t>2026-08-15</t>
        </is>
      </c>
      <c r="I30" s="27" t="n">
        <v>2412</v>
      </c>
      <c r="J30" s="27" t="n">
        <v>1206</v>
      </c>
      <c r="K30" s="20" t="n"/>
      <c r="L30" s="20" t="inlineStr">
        <is>
          <t>$200 Jet Set July discount applied; hotel+flights+taxes from DTW</t>
        </is>
      </c>
      <c r="M30" s="20" t="inlineStr">
        <is>
          <t>4.5-star; 2900 reviews; Costa Mujeres; adults-only</t>
        </is>
      </c>
    </row>
    <row r="31">
      <c r="A31" s="20" t="n">
        <v>29</v>
      </c>
      <c r="B31" s="20" t="inlineStr">
        <is>
          <t>2026-07-17T20:00:00</t>
        </is>
      </c>
      <c r="C31" s="20" t="inlineStr">
        <is>
          <t>SCOUT-CUN</t>
        </is>
      </c>
      <c r="D31" s="20" t="inlineStr">
        <is>
          <t>CheapCaribbean</t>
        </is>
      </c>
      <c r="E31" s="20" t="inlineStr">
        <is>
          <t>Package</t>
        </is>
      </c>
      <c r="F31" s="20" t="inlineStr">
        <is>
          <t>Riu Palace Costa Mujeres - AI</t>
        </is>
      </c>
      <c r="G31" s="20" t="inlineStr">
        <is>
          <t>2026-08-08</t>
        </is>
      </c>
      <c r="H31" s="20" t="inlineStr">
        <is>
          <t>2026-08-15</t>
        </is>
      </c>
      <c r="I31" s="27" t="n">
        <v>2632</v>
      </c>
      <c r="J31" s="27" t="n">
        <v>1316</v>
      </c>
      <c r="K31" s="20" t="n"/>
      <c r="L31" s="20" t="inlineStr">
        <is>
          <t>$200 Jet Set July discount applied; hotel+flights+taxes from DTW</t>
        </is>
      </c>
      <c r="M31" s="20" t="inlineStr">
        <is>
          <t xml:space="preserve">5-star; 4946 reviews; </t>
        </is>
      </c>
    </row>
    <row r="32">
      <c r="A32" s="20" t="n">
        <v>30</v>
      </c>
      <c r="B32" s="20" t="inlineStr">
        <is>
          <t>2026-07-17T20:00:00</t>
        </is>
      </c>
      <c r="C32" s="20" t="inlineStr">
        <is>
          <t>SCOUT-CUN</t>
        </is>
      </c>
      <c r="D32" s="20" t="inlineStr">
        <is>
          <t>CheapCaribbean</t>
        </is>
      </c>
      <c r="E32" s="20" t="inlineStr">
        <is>
          <t>Package</t>
        </is>
      </c>
      <c r="F32" s="20" t="inlineStr">
        <is>
          <t>Riu Cancun - AI - Adults Only</t>
        </is>
      </c>
      <c r="G32" s="20" t="inlineStr">
        <is>
          <t>2026-08-08</t>
        </is>
      </c>
      <c r="H32" s="20" t="inlineStr">
        <is>
          <t>2026-08-15</t>
        </is>
      </c>
      <c r="I32" s="27" t="n">
        <v>2696</v>
      </c>
      <c r="J32" s="27" t="n">
        <v>1348</v>
      </c>
      <c r="K32" s="20" t="n"/>
      <c r="L32" s="20" t="inlineStr">
        <is>
          <t>$200 Jet Set July discount applied; hotel+flights+taxes from DTW</t>
        </is>
      </c>
      <c r="M32" s="20" t="inlineStr">
        <is>
          <t>4-star; 14781 reviews; Hotel Zone beach</t>
        </is>
      </c>
    </row>
    <row r="33">
      <c r="A33" s="20" t="n">
        <v>31</v>
      </c>
      <c r="B33" s="20" t="inlineStr">
        <is>
          <t>2026-07-17T20:00:00</t>
        </is>
      </c>
      <c r="C33" s="20" t="inlineStr">
        <is>
          <t>SCOUT-CUN</t>
        </is>
      </c>
      <c r="D33" s="20" t="inlineStr">
        <is>
          <t>CheapCaribbean</t>
        </is>
      </c>
      <c r="E33" s="20" t="inlineStr">
        <is>
          <t>Package</t>
        </is>
      </c>
      <c r="F33" s="20" t="inlineStr">
        <is>
          <t>Riu Palace Riviera Maya - AI</t>
        </is>
      </c>
      <c r="G33" s="20" t="inlineStr">
        <is>
          <t>2026-08-08</t>
        </is>
      </c>
      <c r="H33" s="20" t="inlineStr">
        <is>
          <t>2026-08-15</t>
        </is>
      </c>
      <c r="I33" s="27" t="n">
        <v>2676</v>
      </c>
      <c r="J33" s="27" t="n">
        <v>1338</v>
      </c>
      <c r="K33" s="20" t="n"/>
      <c r="L33" s="20" t="inlineStr">
        <is>
          <t>$200 Jet Set July discount applied; hotel+flights+taxes from DTW</t>
        </is>
      </c>
      <c r="M33" s="20" t="inlineStr">
        <is>
          <t>5-star; 8712 reviews; Playa del Carmen beach</t>
        </is>
      </c>
    </row>
    <row r="34">
      <c r="A34" s="20" t="n">
        <v>32</v>
      </c>
      <c r="B34" s="20" t="inlineStr">
        <is>
          <t>2026-07-17T20:00:00</t>
        </is>
      </c>
      <c r="C34" s="20" t="inlineStr">
        <is>
          <t>SCOUT-CUN</t>
        </is>
      </c>
      <c r="D34" s="20" t="inlineStr">
        <is>
          <t>CheapCaribbean</t>
        </is>
      </c>
      <c r="E34" s="20" t="inlineStr">
        <is>
          <t>Package</t>
        </is>
      </c>
      <c r="F34" s="20" t="inlineStr">
        <is>
          <t>Secrets The Vine - AI - Adults Only</t>
        </is>
      </c>
      <c r="G34" s="20" t="inlineStr">
        <is>
          <t>2026-08-08</t>
        </is>
      </c>
      <c r="H34" s="20" t="inlineStr">
        <is>
          <t>2026-08-15</t>
        </is>
      </c>
      <c r="I34" s="27" t="n">
        <v>2924</v>
      </c>
      <c r="J34" s="27" t="n">
        <v>1462</v>
      </c>
      <c r="K34" s="20" t="n"/>
      <c r="L34" s="20" t="inlineStr">
        <is>
          <t>$200 Jet Set July discount applied; hotel+flights+taxes from DTW</t>
        </is>
      </c>
      <c r="M34" s="20" t="inlineStr">
        <is>
          <t>5-star; 19475 reviews; Hotel Zone; adults-only luxury</t>
        </is>
      </c>
    </row>
    <row r="35">
      <c r="A35" s="20" t="n">
        <v>33</v>
      </c>
      <c r="B35" s="20" t="inlineStr">
        <is>
          <t>2026-07-17T20:00:00</t>
        </is>
      </c>
      <c r="C35" s="20" t="inlineStr">
        <is>
          <t>SCOUT-CUN</t>
        </is>
      </c>
      <c r="D35" s="20" t="inlineStr">
        <is>
          <t>CheapCaribbean</t>
        </is>
      </c>
      <c r="E35" s="20" t="inlineStr">
        <is>
          <t>Package</t>
        </is>
      </c>
      <c r="F35" s="20" t="inlineStr">
        <is>
          <t>Riu Palace Kukulkan - AI - Adults Only</t>
        </is>
      </c>
      <c r="G35" s="20" t="inlineStr">
        <is>
          <t>2026-08-08</t>
        </is>
      </c>
      <c r="H35" s="20" t="inlineStr">
        <is>
          <t>2026-08-15</t>
        </is>
      </c>
      <c r="I35" s="27" t="n">
        <v>3050</v>
      </c>
      <c r="J35" s="27" t="n">
        <v>1525</v>
      </c>
      <c r="K35" s="20" t="n"/>
      <c r="L35" s="20" t="inlineStr">
        <is>
          <t>$200 Jet Set July discount applied; hotel+flights+taxes from DTW</t>
        </is>
      </c>
      <c r="M35" s="20" t="inlineStr">
        <is>
          <t>5-star; 1700 reviews; Hotel Zone beach</t>
        </is>
      </c>
    </row>
    <row r="36">
      <c r="A36" s="20" t="n">
        <v>34</v>
      </c>
      <c r="B36" s="20" t="inlineStr">
        <is>
          <t>2026-07-17T20:00:00</t>
        </is>
      </c>
      <c r="C36" s="20" t="inlineStr">
        <is>
          <t>SCOUT-PUJ</t>
        </is>
      </c>
      <c r="D36" s="20" t="inlineStr">
        <is>
          <t>CheapCaribbean</t>
        </is>
      </c>
      <c r="E36" s="20" t="inlineStr">
        <is>
          <t>Package</t>
        </is>
      </c>
      <c r="F36" s="20" t="inlineStr">
        <is>
          <t>VIK Arena Blanca - AI</t>
        </is>
      </c>
      <c r="G36" s="20" t="inlineStr">
        <is>
          <t>2026-08-08</t>
        </is>
      </c>
      <c r="H36" s="20" t="inlineStr">
        <is>
          <t>2026-08-15</t>
        </is>
      </c>
      <c r="I36" s="27" t="n">
        <v>1804</v>
      </c>
      <c r="J36" s="27" t="n">
        <v>902</v>
      </c>
      <c r="K36" s="20" t="n"/>
      <c r="L36" s="20" t="inlineStr">
        <is>
          <t>$200 Jet Set July discount applied; hotel+flights+taxes from DTW</t>
        </is>
      </c>
      <c r="M36" s="20" t="inlineStr">
        <is>
          <t>3-star; 4377 reviews; Punta Cana beach; budget 3-star</t>
        </is>
      </c>
    </row>
    <row r="37">
      <c r="A37" s="20" t="n">
        <v>35</v>
      </c>
      <c r="B37" s="20" t="inlineStr">
        <is>
          <t>2026-07-17T20:00:00</t>
        </is>
      </c>
      <c r="C37" s="20" t="inlineStr">
        <is>
          <t>SCOUT-PUJ</t>
        </is>
      </c>
      <c r="D37" s="20" t="inlineStr">
        <is>
          <t>CheapCaribbean</t>
        </is>
      </c>
      <c r="E37" s="20" t="inlineStr">
        <is>
          <t>Package</t>
        </is>
      </c>
      <c r="F37" s="20" t="inlineStr">
        <is>
          <t>Riu Bambu - AI</t>
        </is>
      </c>
      <c r="G37" s="20" t="inlineStr">
        <is>
          <t>2026-08-08</t>
        </is>
      </c>
      <c r="H37" s="20" t="inlineStr">
        <is>
          <t>2026-08-15</t>
        </is>
      </c>
      <c r="I37" s="27" t="n">
        <v>2174</v>
      </c>
      <c r="J37" s="27" t="n">
        <v>1087</v>
      </c>
      <c r="K37" s="20" t="n"/>
      <c r="L37" s="20" t="inlineStr">
        <is>
          <t>$200 Jet Set July discount applied; hotel+flights+taxes from DTW</t>
        </is>
      </c>
      <c r="M37" s="20" t="inlineStr">
        <is>
          <t>4-star; 5580 reviews; Punta Cana beach; family</t>
        </is>
      </c>
    </row>
    <row r="38">
      <c r="A38" s="20" t="n">
        <v>36</v>
      </c>
      <c r="B38" s="20" t="inlineStr">
        <is>
          <t>2026-07-17T20:00:00</t>
        </is>
      </c>
      <c r="C38" s="20" t="inlineStr">
        <is>
          <t>SCOUT-PUJ</t>
        </is>
      </c>
      <c r="D38" s="20" t="inlineStr">
        <is>
          <t>CheapCaribbean</t>
        </is>
      </c>
      <c r="E38" s="20" t="inlineStr">
        <is>
          <t>Package</t>
        </is>
      </c>
      <c r="F38" s="20" t="inlineStr">
        <is>
          <t>Sunscape Coco - AI</t>
        </is>
      </c>
      <c r="G38" s="20" t="inlineStr">
        <is>
          <t>2026-08-08</t>
        </is>
      </c>
      <c r="H38" s="20" t="inlineStr">
        <is>
          <t>2026-08-15</t>
        </is>
      </c>
      <c r="I38" s="27" t="n">
        <v>2194</v>
      </c>
      <c r="J38" s="27" t="n">
        <v>1097</v>
      </c>
      <c r="K38" s="20" t="n"/>
      <c r="L38" s="20" t="inlineStr">
        <is>
          <t>$200 Jet Set July discount applied; hotel+flights+taxes from DTW</t>
        </is>
      </c>
      <c r="M38" s="20" t="inlineStr">
        <is>
          <t>4-star; 3708 reviews; 1.6mi from PUJ</t>
        </is>
      </c>
    </row>
    <row r="39">
      <c r="A39" s="20" t="n">
        <v>37</v>
      </c>
      <c r="B39" s="20" t="inlineStr">
        <is>
          <t>2026-07-17T20:00:00</t>
        </is>
      </c>
      <c r="C39" s="20" t="inlineStr">
        <is>
          <t>SCOUT-PUJ</t>
        </is>
      </c>
      <c r="D39" s="20" t="inlineStr">
        <is>
          <t>CheapCaribbean</t>
        </is>
      </c>
      <c r="E39" s="20" t="inlineStr">
        <is>
          <t>Package</t>
        </is>
      </c>
      <c r="F39" s="20" t="inlineStr">
        <is>
          <t>Catalonia Bavaro Beach Golf &amp; Casino - AI</t>
        </is>
      </c>
      <c r="G39" s="20" t="inlineStr">
        <is>
          <t>2026-08-08</t>
        </is>
      </c>
      <c r="H39" s="20" t="inlineStr">
        <is>
          <t>2026-08-15</t>
        </is>
      </c>
      <c r="I39" s="27" t="n">
        <v>2294</v>
      </c>
      <c r="J39" s="27" t="n">
        <v>1147</v>
      </c>
      <c r="K39" s="20" t="n"/>
      <c r="L39" s="20" t="inlineStr">
        <is>
          <t>$200 Jet Set July discount applied; hotel+flights+taxes from DTW</t>
        </is>
      </c>
      <c r="M39" s="20" t="inlineStr">
        <is>
          <t xml:space="preserve">4-star; 16247 reviews; </t>
        </is>
      </c>
    </row>
    <row r="40">
      <c r="A40" s="20" t="n">
        <v>38</v>
      </c>
      <c r="B40" s="20" t="inlineStr">
        <is>
          <t>2026-07-17T20:00:00</t>
        </is>
      </c>
      <c r="C40" s="20" t="inlineStr">
        <is>
          <t>SCOUT-PUJ</t>
        </is>
      </c>
      <c r="D40" s="20" t="inlineStr">
        <is>
          <t>CheapCaribbean</t>
        </is>
      </c>
      <c r="E40" s="20" t="inlineStr">
        <is>
          <t>Package</t>
        </is>
      </c>
      <c r="F40" s="20" t="inlineStr">
        <is>
          <t>Riu Palace Punta Cana - AI</t>
        </is>
      </c>
      <c r="G40" s="20" t="inlineStr">
        <is>
          <t>2026-08-08</t>
        </is>
      </c>
      <c r="H40" s="20" t="inlineStr">
        <is>
          <t>2026-08-15</t>
        </is>
      </c>
      <c r="I40" s="27" t="n">
        <v>2454</v>
      </c>
      <c r="J40" s="27" t="n">
        <v>1227</v>
      </c>
      <c r="K40" s="20" t="n"/>
      <c r="L40" s="20" t="inlineStr">
        <is>
          <t>$200 Jet Set July discount applied; hotel+flights+taxes from DTW</t>
        </is>
      </c>
      <c r="M40" s="20" t="inlineStr">
        <is>
          <t>5-star; 4067 reviews; Punta Cana beach</t>
        </is>
      </c>
    </row>
    <row r="41">
      <c r="A41" s="20" t="n">
        <v>39</v>
      </c>
      <c r="B41" s="20" t="inlineStr">
        <is>
          <t>2026-07-17T20:00:00</t>
        </is>
      </c>
      <c r="C41" s="20" t="inlineStr">
        <is>
          <t>SCOUT-PUJ</t>
        </is>
      </c>
      <c r="D41" s="20" t="inlineStr">
        <is>
          <t>CheapCaribbean</t>
        </is>
      </c>
      <c r="E41" s="20" t="inlineStr">
        <is>
          <t>Package</t>
        </is>
      </c>
      <c r="F41" s="20" t="inlineStr">
        <is>
          <t>Barcelo Bavaro Beach - AI - Adults Only</t>
        </is>
      </c>
      <c r="G41" s="20" t="inlineStr">
        <is>
          <t>2026-08-08</t>
        </is>
      </c>
      <c r="H41" s="20" t="inlineStr">
        <is>
          <t>2026-08-15</t>
        </is>
      </c>
      <c r="I41" s="27" t="n">
        <v>2460</v>
      </c>
      <c r="J41" s="27" t="n">
        <v>1230</v>
      </c>
      <c r="K41" s="20" t="n"/>
      <c r="L41" s="20" t="inlineStr">
        <is>
          <t>$200 Jet Set July discount applied; hotel+flights+taxes from DTW</t>
        </is>
      </c>
      <c r="M41" s="20" t="inlineStr">
        <is>
          <t>4-star; 16399 reviews; Bavaro beach; adults-only</t>
        </is>
      </c>
    </row>
    <row r="42">
      <c r="A42" s="20" t="n">
        <v>40</v>
      </c>
      <c r="B42" s="20" t="inlineStr">
        <is>
          <t>2026-07-17T20:00:00</t>
        </is>
      </c>
      <c r="C42" s="20" t="inlineStr">
        <is>
          <t>SCOUT-PUJ</t>
        </is>
      </c>
      <c r="D42" s="20" t="inlineStr">
        <is>
          <t>CheapCaribbean</t>
        </is>
      </c>
      <c r="E42" s="20" t="inlineStr">
        <is>
          <t>Package</t>
        </is>
      </c>
      <c r="F42" s="20" t="inlineStr">
        <is>
          <t>Barcelo Bavaro Palace - AI</t>
        </is>
      </c>
      <c r="G42" s="20" t="inlineStr">
        <is>
          <t>2026-08-08</t>
        </is>
      </c>
      <c r="H42" s="20" t="inlineStr">
        <is>
          <t>2026-08-15</t>
        </is>
      </c>
      <c r="I42" s="27" t="n">
        <v>2588</v>
      </c>
      <c r="J42" s="27" t="n">
        <v>1294</v>
      </c>
      <c r="K42" s="20" t="n"/>
      <c r="L42" s="20" t="inlineStr">
        <is>
          <t>$200 Jet Set July discount applied; hotel+flights+taxes from DTW</t>
        </is>
      </c>
      <c r="M42" s="20" t="inlineStr">
        <is>
          <t xml:space="preserve">4.5-star; 0 reviews; </t>
        </is>
      </c>
    </row>
    <row r="43">
      <c r="A43" s="20" t="n">
        <v>41</v>
      </c>
      <c r="B43" s="20" t="inlineStr">
        <is>
          <t>2026-07-17T20:00:00</t>
        </is>
      </c>
      <c r="C43" s="20" t="inlineStr">
        <is>
          <t>SCOUT-PUJ</t>
        </is>
      </c>
      <c r="D43" s="20" t="inlineStr">
        <is>
          <t>CheapCaribbean</t>
        </is>
      </c>
      <c r="E43" s="20" t="inlineStr">
        <is>
          <t>Package</t>
        </is>
      </c>
      <c r="F43" s="20" t="inlineStr">
        <is>
          <t>Riu Palace Macao - AI - Adults Only</t>
        </is>
      </c>
      <c r="G43" s="20" t="inlineStr">
        <is>
          <t>2026-08-08</t>
        </is>
      </c>
      <c r="H43" s="20" t="inlineStr">
        <is>
          <t>2026-08-15</t>
        </is>
      </c>
      <c r="I43" s="27" t="n">
        <v>2904</v>
      </c>
      <c r="J43" s="27" t="n">
        <v>1452</v>
      </c>
      <c r="K43" s="20" t="n"/>
      <c r="L43" s="20" t="inlineStr">
        <is>
          <t>$200 Jet Set July discount applied; hotel+flights+taxes from DTW</t>
        </is>
      </c>
      <c r="M43" s="20" t="inlineStr">
        <is>
          <t>5-star; 6928 reviews; Beachfront swim-up rooms; adults-only</t>
        </is>
      </c>
    </row>
    <row r="44">
      <c r="A44" s="20" t="n">
        <v>42</v>
      </c>
      <c r="B44" s="20" t="inlineStr">
        <is>
          <t>2026-07-17T20:00:00</t>
        </is>
      </c>
      <c r="C44" s="20" t="inlineStr">
        <is>
          <t>SCOUT-PUJ</t>
        </is>
      </c>
      <c r="D44" s="20" t="inlineStr">
        <is>
          <t>CheapCaribbean</t>
        </is>
      </c>
      <c r="E44" s="20" t="inlineStr">
        <is>
          <t>Package</t>
        </is>
      </c>
      <c r="F44" s="20" t="inlineStr">
        <is>
          <t>Secrets Royal Beach - AI - Adults Only</t>
        </is>
      </c>
      <c r="G44" s="20" t="inlineStr">
        <is>
          <t>2026-08-08</t>
        </is>
      </c>
      <c r="H44" s="20" t="inlineStr">
        <is>
          <t>2026-08-15</t>
        </is>
      </c>
      <c r="I44" s="27" t="n">
        <v>3146</v>
      </c>
      <c r="J44" s="27" t="n">
        <v>1573</v>
      </c>
      <c r="K44" s="20" t="n"/>
      <c r="L44" s="20" t="inlineStr">
        <is>
          <t>$200 Jet Set July discount applied; hotel+flights+taxes from DTW</t>
        </is>
      </c>
      <c r="M44" s="20" t="inlineStr">
        <is>
          <t>5-star; 23486 reviews; adults-only</t>
        </is>
      </c>
    </row>
    <row r="45">
      <c r="A45" s="20" t="n">
        <v>43</v>
      </c>
      <c r="B45" s="20" t="inlineStr">
        <is>
          <t>2026-07-17T20:00:00</t>
        </is>
      </c>
      <c r="C45" s="20" t="inlineStr">
        <is>
          <t>SCOUT-MBJ</t>
        </is>
      </c>
      <c r="D45" s="20" t="inlineStr">
        <is>
          <t>CheapCaribbean</t>
        </is>
      </c>
      <c r="E45" s="20" t="inlineStr">
        <is>
          <t>Package</t>
        </is>
      </c>
      <c r="F45" s="20" t="inlineStr">
        <is>
          <t>Riu Negril - AI</t>
        </is>
      </c>
      <c r="G45" s="20" t="inlineStr">
        <is>
          <t>2026-08-08</t>
        </is>
      </c>
      <c r="H45" s="20" t="inlineStr">
        <is>
          <t>2026-08-15</t>
        </is>
      </c>
      <c r="I45" s="27" t="n">
        <v>2906</v>
      </c>
      <c r="J45" s="27" t="n">
        <v>1453</v>
      </c>
      <c r="K45" s="20" t="n"/>
      <c r="L45" s="20" t="inlineStr">
        <is>
          <t>$200 Jet Set July discount applied; hotel+flights+taxes from DTW</t>
        </is>
      </c>
      <c r="M45" s="20" t="inlineStr">
        <is>
          <t>4-star; 9094 reviews; Negril beach (Seven Mile area)</t>
        </is>
      </c>
    </row>
    <row r="46">
      <c r="A46" s="20" t="n">
        <v>44</v>
      </c>
      <c r="B46" s="20" t="inlineStr">
        <is>
          <t>2026-07-17T20:00:00</t>
        </is>
      </c>
      <c r="C46" s="20" t="inlineStr">
        <is>
          <t>SCOUT-MBJ</t>
        </is>
      </c>
      <c r="D46" s="20" t="inlineStr">
        <is>
          <t>CheapCaribbean</t>
        </is>
      </c>
      <c r="E46" s="20" t="inlineStr">
        <is>
          <t>Package</t>
        </is>
      </c>
      <c r="F46" s="20" t="inlineStr">
        <is>
          <t>Riu Palace Tropical Bay - AI</t>
        </is>
      </c>
      <c r="G46" s="20" t="inlineStr">
        <is>
          <t>2026-08-08</t>
        </is>
      </c>
      <c r="H46" s="20" t="inlineStr">
        <is>
          <t>2026-08-15</t>
        </is>
      </c>
      <c r="I46" s="27" t="n">
        <v>3200</v>
      </c>
      <c r="J46" s="27" t="n">
        <v>1600</v>
      </c>
      <c r="K46" s="20" t="n"/>
      <c r="L46" s="20" t="inlineStr">
        <is>
          <t>$200 Jet Set July discount applied; hotel+flights+taxes from DTW</t>
        </is>
      </c>
      <c r="M46" s="20" t="inlineStr">
        <is>
          <t>4-star; 8686 reviews; Negril beach</t>
        </is>
      </c>
    </row>
    <row r="47">
      <c r="A47" s="20" t="n">
        <v>45</v>
      </c>
      <c r="B47" s="20" t="inlineStr">
        <is>
          <t>2026-07-17T20:00:00</t>
        </is>
      </c>
      <c r="C47" s="20" t="inlineStr">
        <is>
          <t>SCOUT-MBJ</t>
        </is>
      </c>
      <c r="D47" s="20" t="inlineStr">
        <is>
          <t>CheapCaribbean</t>
        </is>
      </c>
      <c r="E47" s="20" t="inlineStr">
        <is>
          <t>Package</t>
        </is>
      </c>
      <c r="F47" s="20" t="inlineStr">
        <is>
          <t>Bahia Principe Escape Runaway Bay - AI - Adults Only</t>
        </is>
      </c>
      <c r="G47" s="20" t="inlineStr">
        <is>
          <t>2026-08-08</t>
        </is>
      </c>
      <c r="H47" s="20" t="inlineStr">
        <is>
          <t>2026-08-15</t>
        </is>
      </c>
      <c r="I47" s="27" t="n">
        <v>3426</v>
      </c>
      <c r="J47" s="27" t="n">
        <v>1713</v>
      </c>
      <c r="K47" s="20" t="n"/>
      <c r="L47" s="20" t="inlineStr">
        <is>
          <t>$200 Jet Set July discount applied; hotel+flights+taxes from DTW</t>
        </is>
      </c>
      <c r="M47" s="20" t="inlineStr">
        <is>
          <t xml:space="preserve">4.5-star; 5888 reviews; </t>
        </is>
      </c>
    </row>
    <row r="48">
      <c r="A48" s="20" t="n">
        <v>46</v>
      </c>
      <c r="B48" s="20" t="inlineStr">
        <is>
          <t>2026-07-17T20:00:00</t>
        </is>
      </c>
      <c r="C48" s="20" t="inlineStr">
        <is>
          <t>SCOUT-MBJ</t>
        </is>
      </c>
      <c r="D48" s="20" t="inlineStr">
        <is>
          <t>CheapCaribbean</t>
        </is>
      </c>
      <c r="E48" s="20" t="inlineStr">
        <is>
          <t>Package</t>
        </is>
      </c>
      <c r="F48" s="20" t="inlineStr">
        <is>
          <t>Riu Reggae - AI - Adults Only</t>
        </is>
      </c>
      <c r="G48" s="20" t="inlineStr">
        <is>
          <t>2026-08-08</t>
        </is>
      </c>
      <c r="H48" s="20" t="inlineStr">
        <is>
          <t>2026-08-15</t>
        </is>
      </c>
      <c r="I48" s="27" t="n">
        <v>3482</v>
      </c>
      <c r="J48" s="27" t="n">
        <v>1741</v>
      </c>
      <c r="K48" s="20" t="n"/>
      <c r="L48" s="20" t="inlineStr">
        <is>
          <t>$200 Jet Set July discount applied; hotel+flights+taxes from DTW</t>
        </is>
      </c>
      <c r="M48" s="20" t="inlineStr">
        <is>
          <t>4-star; 4136 reviews; Montego Bay</t>
        </is>
      </c>
    </row>
    <row r="49">
      <c r="A49" s="20" t="n">
        <v>47</v>
      </c>
      <c r="B49" s="20" t="inlineStr">
        <is>
          <t>2026-07-17T20:00:00</t>
        </is>
      </c>
      <c r="C49" s="20" t="inlineStr">
        <is>
          <t>SCOUT-MBJ</t>
        </is>
      </c>
      <c r="D49" s="20" t="inlineStr">
        <is>
          <t>CheapCaribbean</t>
        </is>
      </c>
      <c r="E49" s="20" t="inlineStr">
        <is>
          <t>Package</t>
        </is>
      </c>
      <c r="F49" s="20" t="inlineStr">
        <is>
          <t>Riu Palace Jamaica - AI - Adults Only</t>
        </is>
      </c>
      <c r="G49" s="20" t="inlineStr">
        <is>
          <t>2026-08-08</t>
        </is>
      </c>
      <c r="H49" s="20" t="inlineStr">
        <is>
          <t>2026-08-15</t>
        </is>
      </c>
      <c r="I49" s="27" t="n">
        <v>4062</v>
      </c>
      <c r="J49" s="27" t="n">
        <v>2031</v>
      </c>
      <c r="K49" s="20" t="n"/>
      <c r="L49" s="20" t="inlineStr">
        <is>
          <t>$200 Jet Set July discount applied; hotel+flights+taxes from DTW</t>
        </is>
      </c>
      <c r="M49" s="20" t="inlineStr">
        <is>
          <t>5-star; 5078 reviews; Montego Bay beach</t>
        </is>
      </c>
    </row>
    <row r="50">
      <c r="A50" s="20" t="n">
        <v>48</v>
      </c>
      <c r="B50" s="20" t="inlineStr">
        <is>
          <t>2026-07-17T20:00:00</t>
        </is>
      </c>
      <c r="C50" s="20" t="inlineStr">
        <is>
          <t>SCOUT-NAS</t>
        </is>
      </c>
      <c r="D50" s="20" t="inlineStr">
        <is>
          <t>CheapCaribbean</t>
        </is>
      </c>
      <c r="E50" s="20" t="inlineStr">
        <is>
          <t>Package</t>
        </is>
      </c>
      <c r="F50" s="20" t="inlineStr">
        <is>
          <t>Breezes Bahamas - AI</t>
        </is>
      </c>
      <c r="G50" s="20" t="inlineStr">
        <is>
          <t>2026-08-08</t>
        </is>
      </c>
      <c r="H50" s="20" t="inlineStr">
        <is>
          <t>2026-08-15</t>
        </is>
      </c>
      <c r="I50" s="27" t="n">
        <v>3408</v>
      </c>
      <c r="J50" s="27" t="n">
        <v>1704</v>
      </c>
      <c r="K50" s="20" t="n"/>
      <c r="L50" s="20" t="inlineStr">
        <is>
          <t>$200 Jet Set July discount applied; hotel+flights+taxes from DTW</t>
        </is>
      </c>
      <c r="M50" s="20" t="inlineStr">
        <is>
          <t>3.5-star; 11151 reviews; Cable Beach Nassau</t>
        </is>
      </c>
    </row>
    <row r="51">
      <c r="A51" s="20" t="n">
        <v>49</v>
      </c>
      <c r="B51" s="20" t="inlineStr">
        <is>
          <t>2026-07-17T20:00:00</t>
        </is>
      </c>
      <c r="C51" s="20" t="inlineStr">
        <is>
          <t>SCOUT-NAS</t>
        </is>
      </c>
      <c r="D51" s="20" t="inlineStr">
        <is>
          <t>CheapCaribbean</t>
        </is>
      </c>
      <c r="E51" s="20" t="inlineStr">
        <is>
          <t>Package</t>
        </is>
      </c>
      <c r="F51" s="20" t="inlineStr">
        <is>
          <t>Riu Palace Paradise Island - AI - Adults Only</t>
        </is>
      </c>
      <c r="G51" s="20" t="inlineStr">
        <is>
          <t>2026-08-08</t>
        </is>
      </c>
      <c r="H51" s="20" t="inlineStr">
        <is>
          <t>2026-08-15</t>
        </is>
      </c>
      <c r="I51" s="27" t="n">
        <v>3716</v>
      </c>
      <c r="J51" s="27" t="n">
        <v>1858</v>
      </c>
      <c r="K51" s="20" t="n"/>
      <c r="L51" s="20" t="inlineStr">
        <is>
          <t>$200 Jet Set July discount applied; hotel+flights+taxes from DTW</t>
        </is>
      </c>
      <c r="M51" s="20" t="inlineStr">
        <is>
          <t>4.5-star; 2973 reviews; Paradise Island / Cabbage Beach; adults-only</t>
        </is>
      </c>
    </row>
    <row r="52">
      <c r="A52" s="20" t="n">
        <v>50</v>
      </c>
      <c r="B52" s="20" t="inlineStr">
        <is>
          <t>2026-07-17T20:00:00</t>
        </is>
      </c>
      <c r="C52" s="20" t="inlineStr">
        <is>
          <t>SCOUT-NAS</t>
        </is>
      </c>
      <c r="D52" s="20" t="inlineStr">
        <is>
          <t>CheapCaribbean</t>
        </is>
      </c>
      <c r="E52" s="20" t="inlineStr">
        <is>
          <t>Package</t>
        </is>
      </c>
      <c r="F52" s="20" t="inlineStr">
        <is>
          <t>Warwick Paradise Island - AI - Adults Only</t>
        </is>
      </c>
      <c r="G52" s="20" t="inlineStr">
        <is>
          <t>2026-08-08</t>
        </is>
      </c>
      <c r="H52" s="20" t="inlineStr">
        <is>
          <t>2026-08-15</t>
        </is>
      </c>
      <c r="I52" s="27" t="n">
        <v>3890</v>
      </c>
      <c r="J52" s="27" t="n">
        <v>1945</v>
      </c>
      <c r="K52" s="20" t="n"/>
      <c r="L52" s="20" t="inlineStr">
        <is>
          <t>$200 Jet Set July discount applied; hotel+flights+taxes from DTW</t>
        </is>
      </c>
      <c r="M52" s="20" t="inlineStr">
        <is>
          <t>4-star; 3188 reviews; Harbour beach; adults-only</t>
        </is>
      </c>
    </row>
    <row r="53">
      <c r="A53" s="20" t="n">
        <v>51</v>
      </c>
      <c r="B53" s="20" t="inlineStr">
        <is>
          <t>2026-07-17T20:00:00</t>
        </is>
      </c>
      <c r="C53" s="20" t="inlineStr">
        <is>
          <t>SCOUT-CUR</t>
        </is>
      </c>
      <c r="D53" s="20" t="inlineStr">
        <is>
          <t>CheapCaribbean</t>
        </is>
      </c>
      <c r="E53" s="20" t="inlineStr">
        <is>
          <t>Package</t>
        </is>
      </c>
      <c r="F53" s="20" t="inlineStr">
        <is>
          <t>Dreams Curacao Resort Spa &amp; Casino - AI</t>
        </is>
      </c>
      <c r="G53" s="20" t="inlineStr">
        <is>
          <t>2026-08-08</t>
        </is>
      </c>
      <c r="H53" s="20" t="inlineStr">
        <is>
          <t>2026-08-15</t>
        </is>
      </c>
      <c r="I53" s="27" t="n">
        <v>4632</v>
      </c>
      <c r="J53" s="27" t="n">
        <v>2316</v>
      </c>
      <c r="K53" s="20" t="n"/>
      <c r="L53" s="20" t="inlineStr">
        <is>
          <t>$200 Jet Set July discount applied; hotel+flights+taxes from DTW</t>
        </is>
      </c>
      <c r="M53" s="20" t="inlineStr">
        <is>
          <t xml:space="preserve">5-star; 2224 reviews; </t>
        </is>
      </c>
    </row>
    <row r="54">
      <c r="A54" s="20" t="n">
        <v>52</v>
      </c>
      <c r="B54" s="20" t="inlineStr">
        <is>
          <t>2026-07-17T20:00:00</t>
        </is>
      </c>
      <c r="C54" s="20" t="inlineStr">
        <is>
          <t>SCOUT-CUR</t>
        </is>
      </c>
      <c r="D54" s="20" t="inlineStr">
        <is>
          <t>CheapCaribbean</t>
        </is>
      </c>
      <c r="E54" s="20" t="inlineStr">
        <is>
          <t>Package</t>
        </is>
      </c>
      <c r="F54" s="20" t="inlineStr">
        <is>
          <t>Mangrove Beach Corendon Curio Hilton - AI</t>
        </is>
      </c>
      <c r="G54" s="20" t="inlineStr">
        <is>
          <t>2026-08-08</t>
        </is>
      </c>
      <c r="H54" s="20" t="inlineStr">
        <is>
          <t>2026-08-15</t>
        </is>
      </c>
      <c r="I54" s="27" t="n">
        <v>4778</v>
      </c>
      <c r="J54" s="27" t="n">
        <v>2389</v>
      </c>
      <c r="K54" s="20" t="n"/>
      <c r="L54" s="20" t="inlineStr">
        <is>
          <t>$200 Jet Set July discount applied; hotel+flights+taxes from DTW</t>
        </is>
      </c>
      <c r="M54" s="20" t="inlineStr">
        <is>
          <t xml:space="preserve">4-star; 1983 reviews; </t>
        </is>
      </c>
    </row>
    <row r="55">
      <c r="A55" s="20" t="n">
        <v>53</v>
      </c>
      <c r="B55" s="20" t="inlineStr">
        <is>
          <t>2026-07-17T20:00:00</t>
        </is>
      </c>
      <c r="C55" s="20" t="inlineStr">
        <is>
          <t>SCOUT-CUR</t>
        </is>
      </c>
      <c r="D55" s="20" t="inlineStr">
        <is>
          <t>CheapCaribbean</t>
        </is>
      </c>
      <c r="E55" s="20" t="inlineStr">
        <is>
          <t>Package</t>
        </is>
      </c>
      <c r="F55" s="20" t="inlineStr">
        <is>
          <t>Sunscape Curacao - AI</t>
        </is>
      </c>
      <c r="G55" s="20" t="inlineStr">
        <is>
          <t>2026-08-08</t>
        </is>
      </c>
      <c r="H55" s="20" t="inlineStr">
        <is>
          <t>2026-08-15</t>
        </is>
      </c>
      <c r="I55" s="27" t="n">
        <v>4996</v>
      </c>
      <c r="J55" s="27" t="n">
        <v>2498</v>
      </c>
      <c r="K55" s="20" t="n"/>
      <c r="L55" s="20" t="inlineStr">
        <is>
          <t>$200 Jet Set July discount applied; hotel+flights+taxes from DTW</t>
        </is>
      </c>
      <c r="M55" s="20" t="inlineStr">
        <is>
          <t xml:space="preserve">4-star; 10177 reviews; </t>
        </is>
      </c>
    </row>
    <row r="56">
      <c r="A56" s="20" t="n">
        <v>54</v>
      </c>
      <c r="B56" s="20" t="inlineStr">
        <is>
          <t>2026-07-17T20:30:00</t>
        </is>
      </c>
      <c r="C56" s="20" t="inlineStr">
        <is>
          <t>SCOUT-CUN</t>
        </is>
      </c>
      <c r="D56" s="20" t="inlineStr">
        <is>
          <t>CheapCaribbean</t>
        </is>
      </c>
      <c r="E56" s="20" t="inlineStr">
        <is>
          <t>Package</t>
        </is>
      </c>
      <c r="F56" s="20" t="inlineStr">
        <is>
          <t>Riu Latino - AI - Adults Only</t>
        </is>
      </c>
      <c r="G56" s="20" t="inlineStr">
        <is>
          <t>2026-08-09</t>
        </is>
      </c>
      <c r="H56" s="20" t="inlineStr">
        <is>
          <t>2026-08-16</t>
        </is>
      </c>
      <c r="I56" s="27" t="n">
        <v>2614</v>
      </c>
      <c r="J56" s="27" t="n">
        <v>1307</v>
      </c>
      <c r="K56" s="20" t="n"/>
      <c r="L56" s="20" t="inlineStr">
        <is>
          <t>$200 promo applied</t>
        </is>
      </c>
      <c r="M56" s="20" t="inlineStr">
        <is>
          <t>date-shift variant check; Aug 8 start remains cheapest</t>
        </is>
      </c>
    </row>
    <row r="57">
      <c r="A57" s="20" t="n">
        <v>55</v>
      </c>
      <c r="B57" s="20" t="inlineStr">
        <is>
          <t>2026-07-17T20:30:00</t>
        </is>
      </c>
      <c r="C57" s="20" t="inlineStr">
        <is>
          <t>SCOUT-CUN</t>
        </is>
      </c>
      <c r="D57" s="20" t="inlineStr">
        <is>
          <t>CheapCaribbean</t>
        </is>
      </c>
      <c r="E57" s="20" t="inlineStr">
        <is>
          <t>Package</t>
        </is>
      </c>
      <c r="F57" s="20" t="inlineStr">
        <is>
          <t>Secrets The Vine - AI - Adults Only</t>
        </is>
      </c>
      <c r="G57" s="20" t="inlineStr">
        <is>
          <t>2026-08-09</t>
        </is>
      </c>
      <c r="H57" s="20" t="inlineStr">
        <is>
          <t>2026-08-16</t>
        </is>
      </c>
      <c r="I57" s="27" t="n">
        <v>3122</v>
      </c>
      <c r="J57" s="27" t="n">
        <v>1561</v>
      </c>
      <c r="K57" s="20" t="n"/>
      <c r="L57" s="20" t="inlineStr">
        <is>
          <t>$200 promo applied</t>
        </is>
      </c>
      <c r="M57" s="20" t="inlineStr">
        <is>
          <t>date-shift variant check; Aug 8 start remains cheapest</t>
        </is>
      </c>
    </row>
    <row r="58">
      <c r="A58" s="20" t="n">
        <v>56</v>
      </c>
      <c r="B58" s="20" t="inlineStr">
        <is>
          <t>2026-07-17T20:30:00</t>
        </is>
      </c>
      <c r="C58" s="20" t="inlineStr">
        <is>
          <t>SCOUT-CUN</t>
        </is>
      </c>
      <c r="D58" s="20" t="inlineStr">
        <is>
          <t>CheapCaribbean</t>
        </is>
      </c>
      <c r="E58" s="20" t="inlineStr">
        <is>
          <t>Package</t>
        </is>
      </c>
      <c r="F58" s="20" t="inlineStr">
        <is>
          <t>Hotel Marina El Cid Spa &amp; Beach - AI</t>
        </is>
      </c>
      <c r="G58" s="20" t="inlineStr">
        <is>
          <t>2026-08-09</t>
        </is>
      </c>
      <c r="H58" s="20" t="inlineStr">
        <is>
          <t>2026-08-16</t>
        </is>
      </c>
      <c r="I58" s="27" t="n">
        <v>2514</v>
      </c>
      <c r="J58" s="27" t="n">
        <v>1257</v>
      </c>
      <c r="K58" s="20" t="n"/>
      <c r="L58" s="20" t="inlineStr">
        <is>
          <t>$200 promo applied</t>
        </is>
      </c>
      <c r="M58" s="20" t="inlineStr">
        <is>
          <t>date-shift variant check; Aug 8 start remains cheapest</t>
        </is>
      </c>
    </row>
    <row r="59">
      <c r="A59" s="20" t="n">
        <v>57</v>
      </c>
      <c r="B59" s="20" t="inlineStr">
        <is>
          <t>2026-07-17T20:30:00</t>
        </is>
      </c>
      <c r="C59" s="20" t="inlineStr">
        <is>
          <t>SCOUT-CUN</t>
        </is>
      </c>
      <c r="D59" s="20" t="inlineStr">
        <is>
          <t>CheapCaribbean</t>
        </is>
      </c>
      <c r="E59" s="20" t="inlineStr">
        <is>
          <t>Package</t>
        </is>
      </c>
      <c r="F59" s="20" t="inlineStr">
        <is>
          <t>Riu Latino - AI - Adults Only</t>
        </is>
      </c>
      <c r="G59" s="20" t="inlineStr">
        <is>
          <t>2026-08-10</t>
        </is>
      </c>
      <c r="H59" s="20" t="inlineStr">
        <is>
          <t>2026-08-17</t>
        </is>
      </c>
      <c r="I59" s="27" t="n">
        <v>2548</v>
      </c>
      <c r="J59" s="27" t="n">
        <v>1274</v>
      </c>
      <c r="K59" s="20" t="n"/>
      <c r="L59" s="20" t="inlineStr">
        <is>
          <t>$200 promo applied</t>
        </is>
      </c>
      <c r="M59" s="20" t="inlineStr">
        <is>
          <t>date-shift variant check; Aug 8 start remains cheapest</t>
        </is>
      </c>
    </row>
    <row r="60">
      <c r="A60" s="20" t="n">
        <v>58</v>
      </c>
      <c r="B60" s="20" t="inlineStr">
        <is>
          <t>2026-07-17T20:30:00</t>
        </is>
      </c>
      <c r="C60" s="20" t="inlineStr">
        <is>
          <t>SCOUT-CUN</t>
        </is>
      </c>
      <c r="D60" s="20" t="inlineStr">
        <is>
          <t>CheapCaribbean</t>
        </is>
      </c>
      <c r="E60" s="20" t="inlineStr">
        <is>
          <t>Package</t>
        </is>
      </c>
      <c r="F60" s="20" t="inlineStr">
        <is>
          <t>Secrets The Vine - AI - Adults Only</t>
        </is>
      </c>
      <c r="G60" s="20" t="inlineStr">
        <is>
          <t>2026-08-10</t>
        </is>
      </c>
      <c r="H60" s="20" t="inlineStr">
        <is>
          <t>2026-08-17</t>
        </is>
      </c>
      <c r="I60" s="27" t="n">
        <v>3000</v>
      </c>
      <c r="J60" s="27" t="n">
        <v>1500</v>
      </c>
      <c r="K60" s="20" t="n"/>
      <c r="L60" s="20" t="inlineStr">
        <is>
          <t>$200 promo applied</t>
        </is>
      </c>
      <c r="M60" s="20" t="inlineStr">
        <is>
          <t>date-shift variant check; Aug 8 start remains cheapest</t>
        </is>
      </c>
    </row>
    <row r="61">
      <c r="A61" s="20" t="n">
        <v>59</v>
      </c>
      <c r="B61" s="20" t="inlineStr">
        <is>
          <t>2026-07-17T20:30:00</t>
        </is>
      </c>
      <c r="C61" s="20" t="inlineStr">
        <is>
          <t>SCOUT-CUN</t>
        </is>
      </c>
      <c r="D61" s="20" t="inlineStr">
        <is>
          <t>CheapCaribbean</t>
        </is>
      </c>
      <c r="E61" s="20" t="inlineStr">
        <is>
          <t>Package</t>
        </is>
      </c>
      <c r="F61" s="20" t="inlineStr">
        <is>
          <t>Hotel Marina El Cid Spa &amp; Beach - AI</t>
        </is>
      </c>
      <c r="G61" s="20" t="inlineStr">
        <is>
          <t>2026-08-10</t>
        </is>
      </c>
      <c r="H61" s="20" t="inlineStr">
        <is>
          <t>2026-08-17</t>
        </is>
      </c>
      <c r="I61" s="27" t="n">
        <v>2470</v>
      </c>
      <c r="J61" s="27" t="n">
        <v>1235</v>
      </c>
      <c r="K61" s="20" t="n"/>
      <c r="L61" s="20" t="inlineStr">
        <is>
          <t>$200 promo applied</t>
        </is>
      </c>
      <c r="M61" s="20" t="inlineStr">
        <is>
          <t>date-shift variant check; Aug 8 start remains cheapest</t>
        </is>
      </c>
    </row>
    <row r="62">
      <c r="A62" s="20" t="n">
        <v>60</v>
      </c>
      <c r="B62" s="20" t="inlineStr">
        <is>
          <t>2026-07-17T20:30:00</t>
        </is>
      </c>
      <c r="C62" s="20" t="inlineStr">
        <is>
          <t>SCOUT-CUN</t>
        </is>
      </c>
      <c r="D62" s="20" t="inlineStr">
        <is>
          <t>CheapCaribbean</t>
        </is>
      </c>
      <c r="E62" s="20" t="inlineStr">
        <is>
          <t>Package</t>
        </is>
      </c>
      <c r="F62" s="20" t="inlineStr">
        <is>
          <t>Riu Latino - AI - Adults Only</t>
        </is>
      </c>
      <c r="G62" s="20" t="inlineStr">
        <is>
          <t>2026-08-11</t>
        </is>
      </c>
      <c r="H62" s="20" t="inlineStr">
        <is>
          <t>2026-08-18</t>
        </is>
      </c>
      <c r="I62" s="27" t="n">
        <v>2482</v>
      </c>
      <c r="J62" s="27" t="n">
        <v>1241</v>
      </c>
      <c r="K62" s="20" t="n"/>
      <c r="L62" s="20" t="inlineStr">
        <is>
          <t>$200 promo applied</t>
        </is>
      </c>
      <c r="M62" s="20" t="inlineStr">
        <is>
          <t>date-shift variant check; Aug 8 start remains cheapest</t>
        </is>
      </c>
    </row>
    <row r="63">
      <c r="A63" s="20" t="n">
        <v>61</v>
      </c>
      <c r="B63" s="20" t="inlineStr">
        <is>
          <t>2026-07-17T20:30:00</t>
        </is>
      </c>
      <c r="C63" s="20" t="inlineStr">
        <is>
          <t>SCOUT-CUN</t>
        </is>
      </c>
      <c r="D63" s="20" t="inlineStr">
        <is>
          <t>CheapCaribbean</t>
        </is>
      </c>
      <c r="E63" s="20" t="inlineStr">
        <is>
          <t>Package</t>
        </is>
      </c>
      <c r="F63" s="20" t="inlineStr">
        <is>
          <t>Secrets The Vine - AI - Adults Only</t>
        </is>
      </c>
      <c r="G63" s="20" t="inlineStr">
        <is>
          <t>2026-08-11</t>
        </is>
      </c>
      <c r="H63" s="20" t="inlineStr">
        <is>
          <t>2026-08-18</t>
        </is>
      </c>
      <c r="I63" s="27" t="n">
        <v>2944</v>
      </c>
      <c r="J63" s="27" t="n">
        <v>1472</v>
      </c>
      <c r="K63" s="20" t="n"/>
      <c r="L63" s="20" t="inlineStr">
        <is>
          <t>$200 promo applied</t>
        </is>
      </c>
      <c r="M63" s="20" t="inlineStr">
        <is>
          <t>date-shift variant check; Aug 8 start remains cheapest</t>
        </is>
      </c>
    </row>
    <row r="64">
      <c r="A64" s="20" t="n">
        <v>62</v>
      </c>
      <c r="B64" s="20" t="inlineStr">
        <is>
          <t>2026-07-17T20:30:00</t>
        </is>
      </c>
      <c r="C64" s="20" t="inlineStr">
        <is>
          <t>SCOUT-CUN</t>
        </is>
      </c>
      <c r="D64" s="20" t="inlineStr">
        <is>
          <t>CheapCaribbean</t>
        </is>
      </c>
      <c r="E64" s="20" t="inlineStr">
        <is>
          <t>Package</t>
        </is>
      </c>
      <c r="F64" s="20" t="inlineStr">
        <is>
          <t>Hotel Marina El Cid Spa &amp; Beach - AI</t>
        </is>
      </c>
      <c r="G64" s="20" t="inlineStr">
        <is>
          <t>2026-08-11</t>
        </is>
      </c>
      <c r="H64" s="20" t="inlineStr">
        <is>
          <t>2026-08-18</t>
        </is>
      </c>
      <c r="I64" s="27" t="n">
        <v>2426</v>
      </c>
      <c r="J64" s="27" t="n">
        <v>1213</v>
      </c>
      <c r="K64" s="20" t="n"/>
      <c r="L64" s="20" t="inlineStr">
        <is>
          <t>$200 promo applied</t>
        </is>
      </c>
      <c r="M64" s="20" t="inlineStr">
        <is>
          <t>date-shift variant check; Aug 8 start remains cheapest</t>
        </is>
      </c>
    </row>
    <row r="65">
      <c r="A65" s="20" t="n">
        <v>63</v>
      </c>
      <c r="B65" s="20" t="inlineStr">
        <is>
          <t>2026-07-17T21:00:00</t>
        </is>
      </c>
      <c r="C65" s="20" t="inlineStr">
        <is>
          <t>SCOUT-PLS</t>
        </is>
      </c>
      <c r="D65" s="20" t="inlineStr">
        <is>
          <t>CheapCaribbean</t>
        </is>
      </c>
      <c r="E65" s="20" t="inlineStr">
        <is>
          <t>Package</t>
        </is>
      </c>
      <c r="F65" s="20" t="inlineStr">
        <is>
          <t>Blue Haven Resort - AI</t>
        </is>
      </c>
      <c r="G65" s="20" t="inlineStr">
        <is>
          <t>2026-08-08</t>
        </is>
      </c>
      <c r="H65" s="20" t="inlineStr">
        <is>
          <t>2026-08-15</t>
        </is>
      </c>
      <c r="I65" s="27" t="n">
        <v>8328</v>
      </c>
      <c r="J65" s="27" t="n">
        <v>4164</v>
      </c>
      <c r="K65" s="20" t="n"/>
      <c r="L65" s="20" t="inlineStr">
        <is>
          <t>$200 Jet Set July discount applied; hotel+flights+taxes from DTW</t>
        </is>
      </c>
      <c r="M65" s="20" t="inlineStr">
        <is>
          <t>4.5-star; 1886 reviews; Turks &amp; Caicos; true AI; expensive market</t>
        </is>
      </c>
    </row>
    <row r="66">
      <c r="A66" s="20" t="n">
        <v>64</v>
      </c>
      <c r="B66" s="20" t="inlineStr">
        <is>
          <t>2026-07-17T21:00:00</t>
        </is>
      </c>
      <c r="C66" s="20" t="inlineStr">
        <is>
          <t>SCOUT-PLS</t>
        </is>
      </c>
      <c r="D66" s="20" t="inlineStr">
        <is>
          <t>CheapCaribbean</t>
        </is>
      </c>
      <c r="E66" s="20" t="inlineStr">
        <is>
          <t>Package</t>
        </is>
      </c>
      <c r="F66" s="20" t="inlineStr">
        <is>
          <t>Alexandra Resort - AI</t>
        </is>
      </c>
      <c r="G66" s="20" t="inlineStr">
        <is>
          <t>2026-08-08</t>
        </is>
      </c>
      <c r="H66" s="20" t="inlineStr">
        <is>
          <t>2026-08-15</t>
        </is>
      </c>
      <c r="I66" s="27" t="n">
        <v>8482</v>
      </c>
      <c r="J66" s="27" t="n">
        <v>4241</v>
      </c>
      <c r="K66" s="20" t="n"/>
      <c r="L66" s="20" t="inlineStr">
        <is>
          <t>$200 Jet Set July discount applied; hotel+flights+taxes from DTW</t>
        </is>
      </c>
      <c r="M66" s="20" t="inlineStr">
        <is>
          <t>4-star; 4355 reviews; Grace Bay Beach</t>
        </is>
      </c>
    </row>
    <row r="67">
      <c r="A67" s="20" t="n">
        <v>65</v>
      </c>
      <c r="B67" s="20" t="inlineStr">
        <is>
          <t>2026-07-17T21:00:00</t>
        </is>
      </c>
      <c r="C67" s="20" t="inlineStr">
        <is>
          <t>SCOUT-PLS</t>
        </is>
      </c>
      <c r="D67" s="20" t="inlineStr">
        <is>
          <t>CheapCaribbean</t>
        </is>
      </c>
      <c r="E67" s="20" t="inlineStr">
        <is>
          <t>Package</t>
        </is>
      </c>
      <c r="F67" s="20" t="inlineStr">
        <is>
          <t>Ritz-Carlton Turks &amp; Caicos (EP)</t>
        </is>
      </c>
      <c r="G67" s="20" t="inlineStr">
        <is>
          <t>2026-08-08</t>
        </is>
      </c>
      <c r="H67" s="20" t="inlineStr">
        <is>
          <t>2026-08-15</t>
        </is>
      </c>
      <c r="I67" s="27" t="n">
        <v>7778</v>
      </c>
      <c r="J67" s="27" t="n">
        <v>3889</v>
      </c>
      <c r="K67" s="20" t="n"/>
      <c r="L67" s="20" t="inlineStr">
        <is>
          <t>$200 Jet Set July discount applied; hotel+flights+taxes from DTW</t>
        </is>
      </c>
      <c r="M67" s="20" t="inlineStr">
        <is>
          <t>5-star; 789 reviews; NOT all-inclusive; for reference</t>
        </is>
      </c>
    </row>
    <row r="68">
      <c r="A68" s="20" t="n">
        <v>66</v>
      </c>
      <c r="B68" s="20" t="inlineStr">
        <is>
          <t>2026-07-17T21:00:00</t>
        </is>
      </c>
      <c r="C68" s="20" t="inlineStr">
        <is>
          <t>SCOUT-GCM</t>
        </is>
      </c>
      <c r="D68" s="20" t="inlineStr">
        <is>
          <t>CheapCaribbean</t>
        </is>
      </c>
      <c r="E68" s="20" t="inlineStr">
        <is>
          <t>Package</t>
        </is>
      </c>
      <c r="F68" s="20" t="inlineStr">
        <is>
          <t>The Reef Beach Resort - AI</t>
        </is>
      </c>
      <c r="G68" s="20" t="inlineStr">
        <is>
          <t>2026-08-08</t>
        </is>
      </c>
      <c r="H68" s="20" t="inlineStr">
        <is>
          <t>2026-08-15</t>
        </is>
      </c>
      <c r="I68" s="27" t="n">
        <v>5214</v>
      </c>
      <c r="J68" s="27" t="n">
        <v>2607</v>
      </c>
      <c r="K68" s="20" t="n"/>
      <c r="L68" s="20" t="inlineStr">
        <is>
          <t>$200 Jet Set July discount applied; hotel+flights+taxes from DTW</t>
        </is>
      </c>
      <c r="M68" s="20" t="inlineStr">
        <is>
          <t>3.5-star; 2765 reviews; East End 18.5mi; only true AI on island</t>
        </is>
      </c>
    </row>
    <row r="69">
      <c r="A69" s="20" t="n">
        <v>67</v>
      </c>
      <c r="B69" s="20" t="inlineStr">
        <is>
          <t>2026-07-17T21:00:00</t>
        </is>
      </c>
      <c r="C69" s="20" t="inlineStr">
        <is>
          <t>SCOUT-GCM</t>
        </is>
      </c>
      <c r="D69" s="20" t="inlineStr">
        <is>
          <t>CheapCaribbean</t>
        </is>
      </c>
      <c r="E69" s="20" t="inlineStr">
        <is>
          <t>Package</t>
        </is>
      </c>
      <c r="F69" s="20" t="inlineStr">
        <is>
          <t>Westin Grand Cayman Seven Mile (EP)</t>
        </is>
      </c>
      <c r="G69" s="20" t="inlineStr">
        <is>
          <t>2026-08-08</t>
        </is>
      </c>
      <c r="H69" s="20" t="inlineStr">
        <is>
          <t>2026-08-15</t>
        </is>
      </c>
      <c r="I69" s="27" t="n">
        <v>5996</v>
      </c>
      <c r="J69" s="27" t="n">
        <v>2998</v>
      </c>
      <c r="K69" s="20" t="n"/>
      <c r="L69" s="20" t="inlineStr">
        <is>
          <t>$200 Jet Set July discount applied; hotel+flights+taxes from DTW</t>
        </is>
      </c>
      <c r="M69" s="20" t="inlineStr">
        <is>
          <t>4.5-star; 1636 reviews; NOT AI; reference</t>
        </is>
      </c>
    </row>
    <row r="70">
      <c r="A70" s="20" t="n">
        <v>68</v>
      </c>
      <c r="B70" s="20" t="inlineStr">
        <is>
          <t>2026-07-17T21:00:00</t>
        </is>
      </c>
      <c r="C70" s="20" t="inlineStr">
        <is>
          <t>SCOUT-SXM</t>
        </is>
      </c>
      <c r="D70" s="20" t="inlineStr">
        <is>
          <t>CheapCaribbean</t>
        </is>
      </c>
      <c r="E70" s="20" t="inlineStr">
        <is>
          <t>Package</t>
        </is>
      </c>
      <c r="F70" s="20" t="inlineStr">
        <is>
          <t>Sonesta Maho Beach - AI</t>
        </is>
      </c>
      <c r="G70" s="20" t="inlineStr">
        <is>
          <t>2026-08-08</t>
        </is>
      </c>
      <c r="H70" s="20" t="inlineStr">
        <is>
          <t>2026-08-15</t>
        </is>
      </c>
      <c r="I70" s="27" t="n">
        <v>4716</v>
      </c>
      <c r="J70" s="27" t="n">
        <v>2358</v>
      </c>
      <c r="K70" s="20" t="n"/>
      <c r="L70" s="20" t="inlineStr">
        <is>
          <t>$200 Jet Set July discount applied; hotel+flights+taxes from DTW</t>
        </is>
      </c>
      <c r="M70" s="20" t="inlineStr">
        <is>
          <t>4-star; 1999 reviews; Maho Beach (planes overhead!)</t>
        </is>
      </c>
    </row>
    <row r="71">
      <c r="A71" s="20" t="n">
        <v>69</v>
      </c>
      <c r="B71" s="20" t="inlineStr">
        <is>
          <t>2026-07-17T21:00:00</t>
        </is>
      </c>
      <c r="C71" s="20" t="inlineStr">
        <is>
          <t>SCOUT-SXM</t>
        </is>
      </c>
      <c r="D71" s="20" t="inlineStr">
        <is>
          <t>CheapCaribbean</t>
        </is>
      </c>
      <c r="E71" s="20" t="inlineStr">
        <is>
          <t>Package</t>
        </is>
      </c>
      <c r="F71" s="20" t="inlineStr">
        <is>
          <t>Sonesta Ocean Point - AI - Adults Only</t>
        </is>
      </c>
      <c r="G71" s="20" t="inlineStr">
        <is>
          <t>2026-08-08</t>
        </is>
      </c>
      <c r="H71" s="20" t="inlineStr">
        <is>
          <t>2026-08-15</t>
        </is>
      </c>
      <c r="I71" s="27" t="n">
        <v>5820</v>
      </c>
      <c r="J71" s="27" t="n">
        <v>2910</v>
      </c>
      <c r="K71" s="20" t="n"/>
      <c r="L71" s="20" t="inlineStr">
        <is>
          <t>$200 Jet Set July discount applied; hotel+flights+taxes from DTW</t>
        </is>
      </c>
      <c r="M71" s="20" t="inlineStr">
        <is>
          <t>5-star; 1042 reviews; adults-only</t>
        </is>
      </c>
    </row>
    <row r="72">
      <c r="A72" s="20" t="n">
        <v>70</v>
      </c>
      <c r="B72" s="20" t="inlineStr">
        <is>
          <t>2026-07-17T21:00:00</t>
        </is>
      </c>
      <c r="C72" s="20" t="inlineStr">
        <is>
          <t>SCOUT-ANU</t>
        </is>
      </c>
      <c r="D72" s="20" t="inlineStr">
        <is>
          <t>CheapCaribbean</t>
        </is>
      </c>
      <c r="E72" s="20" t="inlineStr">
        <is>
          <t>Package</t>
        </is>
      </c>
      <c r="F72" s="20" t="inlineStr">
        <is>
          <t>St. James's Club - AI</t>
        </is>
      </c>
      <c r="G72" s="20" t="inlineStr">
        <is>
          <t>2026-08-08</t>
        </is>
      </c>
      <c r="H72" s="20" t="inlineStr">
        <is>
          <t>2026-08-15</t>
        </is>
      </c>
      <c r="I72" s="27" t="n">
        <v>4892</v>
      </c>
      <c r="J72" s="27" t="n">
        <v>2446</v>
      </c>
      <c r="K72" s="20" t="n"/>
      <c r="L72" s="20" t="inlineStr">
        <is>
          <t>$200 Jet Set July discount applied; hotel+flights+taxes from DTW</t>
        </is>
      </c>
      <c r="M72" s="20" t="inlineStr">
        <is>
          <t xml:space="preserve">4-star; 5088 reviews; </t>
        </is>
      </c>
    </row>
    <row r="73">
      <c r="A73" s="20" t="n">
        <v>71</v>
      </c>
      <c r="B73" s="20" t="inlineStr">
        <is>
          <t>2026-07-17T21:00:00</t>
        </is>
      </c>
      <c r="C73" s="20" t="inlineStr">
        <is>
          <t>SCOUT-ANU</t>
        </is>
      </c>
      <c r="D73" s="20" t="inlineStr">
        <is>
          <t>CheapCaribbean</t>
        </is>
      </c>
      <c r="E73" s="20" t="inlineStr">
        <is>
          <t>Package</t>
        </is>
      </c>
      <c r="F73" s="20" t="inlineStr">
        <is>
          <t>The Verandah - AI - Adults Only</t>
        </is>
      </c>
      <c r="G73" s="20" t="inlineStr">
        <is>
          <t>2026-08-08</t>
        </is>
      </c>
      <c r="H73" s="20" t="inlineStr">
        <is>
          <t>2026-08-15</t>
        </is>
      </c>
      <c r="I73" s="27" t="n">
        <v>4998</v>
      </c>
      <c r="J73" s="27" t="n">
        <v>2499</v>
      </c>
      <c r="K73" s="20" t="n"/>
      <c r="L73" s="20" t="inlineStr">
        <is>
          <t>$200 Jet Set July discount applied; hotel+flights+taxes from DTW</t>
        </is>
      </c>
      <c r="M73" s="20" t="inlineStr">
        <is>
          <t>4-star; 5377 reviews; adults-only</t>
        </is>
      </c>
    </row>
    <row r="74">
      <c r="A74" s="20" t="n">
        <v>72</v>
      </c>
      <c r="B74" s="20" t="inlineStr">
        <is>
          <t>2026-07-17T21:00:00</t>
        </is>
      </c>
      <c r="C74" s="20" t="inlineStr">
        <is>
          <t>SCOUT-ANU</t>
        </is>
      </c>
      <c r="D74" s="20" t="inlineStr">
        <is>
          <t>CheapCaribbean</t>
        </is>
      </c>
      <c r="E74" s="20" t="inlineStr">
        <is>
          <t>Package</t>
        </is>
      </c>
      <c r="F74" s="20" t="inlineStr">
        <is>
          <t>Pineapple Beach Club - AI - Adults Only</t>
        </is>
      </c>
      <c r="G74" s="20" t="inlineStr">
        <is>
          <t>2026-08-08</t>
        </is>
      </c>
      <c r="H74" s="20" t="inlineStr">
        <is>
          <t>2026-08-15</t>
        </is>
      </c>
      <c r="I74" s="27" t="n">
        <v>5392</v>
      </c>
      <c r="J74" s="27" t="n">
        <v>2696</v>
      </c>
      <c r="K74" s="20" t="n"/>
      <c r="L74" s="20" t="inlineStr">
        <is>
          <t>$200 Jet Set July discount applied; hotel+flights+taxes from DTW</t>
        </is>
      </c>
      <c r="M74" s="20" t="inlineStr">
        <is>
          <t>4-star; 6041 reviews; adults-only</t>
        </is>
      </c>
    </row>
    <row r="75">
      <c r="A75" s="20" t="n">
        <v>73</v>
      </c>
      <c r="B75" s="20" t="inlineStr">
        <is>
          <t>2026-07-17T21:00:00</t>
        </is>
      </c>
      <c r="C75" s="20" t="inlineStr">
        <is>
          <t>SCOUT-ANU</t>
        </is>
      </c>
      <c r="D75" s="20" t="inlineStr">
        <is>
          <t>CheapCaribbean</t>
        </is>
      </c>
      <c r="E75" s="20" t="inlineStr">
        <is>
          <t>Package</t>
        </is>
      </c>
      <c r="F75" s="20" t="inlineStr">
        <is>
          <t>Royalton Antigua - AI</t>
        </is>
      </c>
      <c r="G75" s="20" t="inlineStr">
        <is>
          <t>2026-08-08</t>
        </is>
      </c>
      <c r="H75" s="20" t="inlineStr">
        <is>
          <t>2026-08-15</t>
        </is>
      </c>
      <c r="I75" s="27" t="n">
        <v>5438</v>
      </c>
      <c r="J75" s="27" t="n">
        <v>2719</v>
      </c>
      <c r="K75" s="20" t="n"/>
      <c r="L75" s="20" t="inlineStr">
        <is>
          <t>$200 Jet Set July discount applied; hotel+flights+taxes from DTW</t>
        </is>
      </c>
      <c r="M75" s="20" t="inlineStr">
        <is>
          <t>5-star; 4918 reviews; overwater bungalows</t>
        </is>
      </c>
    </row>
    <row r="76">
      <c r="A76" s="20" t="n">
        <v>74</v>
      </c>
      <c r="B76" s="20" t="inlineStr">
        <is>
          <t>2026-07-17T21:00:00</t>
        </is>
      </c>
      <c r="C76" s="20" t="inlineStr">
        <is>
          <t>SCOUT-ANU</t>
        </is>
      </c>
      <c r="D76" s="20" t="inlineStr">
        <is>
          <t>CheapCaribbean</t>
        </is>
      </c>
      <c r="E76" s="20" t="inlineStr">
        <is>
          <t>Package</t>
        </is>
      </c>
      <c r="F76" s="20" t="inlineStr">
        <is>
          <t>Royalton CHIC Antigua - AI - Adults Only</t>
        </is>
      </c>
      <c r="G76" s="20" t="inlineStr">
        <is>
          <t>2026-08-08</t>
        </is>
      </c>
      <c r="H76" s="20" t="inlineStr">
        <is>
          <t>2026-08-15</t>
        </is>
      </c>
      <c r="I76" s="27" t="n">
        <v>5750</v>
      </c>
      <c r="J76" s="27" t="n">
        <v>2875</v>
      </c>
      <c r="K76" s="20" t="n"/>
      <c r="L76" s="20" t="inlineStr">
        <is>
          <t>$200 Jet Set July discount applied; hotel+flights+taxes from DTW</t>
        </is>
      </c>
      <c r="M76" s="20" t="inlineStr">
        <is>
          <t>5-star; 1531 reviews; adults-only</t>
        </is>
      </c>
    </row>
    <row r="77">
      <c r="A77" s="20" t="n">
        <v>75</v>
      </c>
      <c r="B77" s="20" t="inlineStr">
        <is>
          <t>2026-07-17T21:00:00</t>
        </is>
      </c>
      <c r="C77" s="20" t="inlineStr">
        <is>
          <t>SCOUT-CZM</t>
        </is>
      </c>
      <c r="D77" s="20" t="inlineStr">
        <is>
          <t>CheapCaribbean</t>
        </is>
      </c>
      <c r="E77" s="20" t="inlineStr">
        <is>
          <t>Package</t>
        </is>
      </c>
      <c r="F77" s="20" t="inlineStr">
        <is>
          <t>El Cozumeleno Beach Resort - AI</t>
        </is>
      </c>
      <c r="G77" s="20" t="inlineStr">
        <is>
          <t>2026-08-08</t>
        </is>
      </c>
      <c r="H77" s="20" t="inlineStr">
        <is>
          <t>2026-08-15</t>
        </is>
      </c>
      <c r="I77" s="27" t="n">
        <v>2986</v>
      </c>
      <c r="J77" s="27" t="n">
        <v>1493</v>
      </c>
      <c r="K77" s="20" t="n"/>
      <c r="L77" s="20" t="inlineStr">
        <is>
          <t>$200 Jet Set July discount applied; hotel+flights+taxes from DTW</t>
        </is>
      </c>
      <c r="M77" s="20" t="inlineStr">
        <is>
          <t xml:space="preserve">3.5-star; 7912 reviews; </t>
        </is>
      </c>
    </row>
    <row r="78">
      <c r="A78" s="20" t="n">
        <v>76</v>
      </c>
      <c r="B78" s="20" t="inlineStr">
        <is>
          <t>2026-07-17T21:00:00</t>
        </is>
      </c>
      <c r="C78" s="20" t="inlineStr">
        <is>
          <t>SCOUT-CZM</t>
        </is>
      </c>
      <c r="D78" s="20" t="inlineStr">
        <is>
          <t>CheapCaribbean</t>
        </is>
      </c>
      <c r="E78" s="20" t="inlineStr">
        <is>
          <t>Package</t>
        </is>
      </c>
      <c r="F78" s="20" t="inlineStr">
        <is>
          <t>Dreams Cozumel Cape - AI</t>
        </is>
      </c>
      <c r="G78" s="20" t="inlineStr">
        <is>
          <t>2026-08-08</t>
        </is>
      </c>
      <c r="H78" s="20" t="inlineStr">
        <is>
          <t>2026-08-15</t>
        </is>
      </c>
      <c r="I78" s="27" t="n">
        <v>3396</v>
      </c>
      <c r="J78" s="27" t="n">
        <v>1698</v>
      </c>
      <c r="K78" s="20" t="n"/>
      <c r="L78" s="20" t="inlineStr">
        <is>
          <t>$200 Jet Set July discount applied; hotel+flights+taxes from DTW</t>
        </is>
      </c>
      <c r="M78" s="20" t="inlineStr">
        <is>
          <t xml:space="preserve">5-star; 965 reviews; </t>
        </is>
      </c>
    </row>
    <row r="79">
      <c r="A79" s="20" t="n">
        <v>77</v>
      </c>
      <c r="B79" s="20" t="inlineStr">
        <is>
          <t>2026-07-17T21:00:00</t>
        </is>
      </c>
      <c r="C79" s="20" t="inlineStr">
        <is>
          <t>SCOUT-CZM</t>
        </is>
      </c>
      <c r="D79" s="20" t="inlineStr">
        <is>
          <t>CheapCaribbean</t>
        </is>
      </c>
      <c r="E79" s="20" t="inlineStr">
        <is>
          <t>Package</t>
        </is>
      </c>
      <c r="F79" s="20" t="inlineStr">
        <is>
          <t>Secrets Aura Cozumel - AI - Adults Only</t>
        </is>
      </c>
      <c r="G79" s="20" t="inlineStr">
        <is>
          <t>2026-08-08</t>
        </is>
      </c>
      <c r="H79" s="20" t="inlineStr">
        <is>
          <t>2026-08-15</t>
        </is>
      </c>
      <c r="I79" s="27" t="n">
        <v>3568</v>
      </c>
      <c r="J79" s="27" t="n">
        <v>1784</v>
      </c>
      <c r="K79" s="20" t="n"/>
      <c r="L79" s="20" t="inlineStr">
        <is>
          <t>$200 Jet Set July discount applied; hotel+flights+taxes from DTW</t>
        </is>
      </c>
      <c r="M79" s="20" t="inlineStr">
        <is>
          <t>5-star; 8024 reviews; adults-only; swim-out suites; west coast = clear + sargassum-protected</t>
        </is>
      </c>
    </row>
    <row r="80">
      <c r="A80" s="20" t="n">
        <v>78</v>
      </c>
      <c r="B80" s="20" t="inlineStr">
        <is>
          <t>2026-07-17T21:00:00</t>
        </is>
      </c>
      <c r="C80" s="20" t="inlineStr">
        <is>
          <t>SCOUT-CZM</t>
        </is>
      </c>
      <c r="D80" s="20" t="inlineStr">
        <is>
          <t>CheapCaribbean</t>
        </is>
      </c>
      <c r="E80" s="20" t="inlineStr">
        <is>
          <t>Package</t>
        </is>
      </c>
      <c r="F80" s="20" t="inlineStr">
        <is>
          <t>Iberostar Waves Cozumel - AI</t>
        </is>
      </c>
      <c r="G80" s="20" t="inlineStr">
        <is>
          <t>2026-08-08</t>
        </is>
      </c>
      <c r="H80" s="20" t="inlineStr">
        <is>
          <t>2026-08-15</t>
        </is>
      </c>
      <c r="I80" s="27" t="n">
        <v>3612</v>
      </c>
      <c r="J80" s="27" t="n">
        <v>1806</v>
      </c>
      <c r="K80" s="20" t="n"/>
      <c r="L80" s="20" t="inlineStr">
        <is>
          <t>$200 Jet Set July discount applied; hotel+flights+taxes from DTW</t>
        </is>
      </c>
      <c r="M80" s="20" t="inlineStr">
        <is>
          <t>4-star; 8945 reviews; bungalow-style</t>
        </is>
      </c>
    </row>
    <row r="81">
      <c r="A81" s="20" t="n">
        <v>79</v>
      </c>
      <c r="B81" s="20" t="inlineStr">
        <is>
          <t>2026-07-17T21:00:00</t>
        </is>
      </c>
      <c r="C81" s="20" t="inlineStr">
        <is>
          <t>SCOUT-CZM</t>
        </is>
      </c>
      <c r="D81" s="20" t="inlineStr">
        <is>
          <t>CheapCaribbean</t>
        </is>
      </c>
      <c r="E81" s="20" t="inlineStr">
        <is>
          <t>Package</t>
        </is>
      </c>
      <c r="F81" s="20" t="inlineStr">
        <is>
          <t>Fiesta Americana Cozumel - AI</t>
        </is>
      </c>
      <c r="G81" s="20" t="inlineStr">
        <is>
          <t>2026-08-08</t>
        </is>
      </c>
      <c r="H81" s="20" t="inlineStr">
        <is>
          <t>2026-08-15</t>
        </is>
      </c>
      <c r="I81" s="27" t="n">
        <v>3702</v>
      </c>
      <c r="J81" s="27" t="n">
        <v>1851</v>
      </c>
      <c r="K81" s="20" t="n"/>
      <c r="L81" s="20" t="inlineStr">
        <is>
          <t>$200 Jet Set July discount applied; hotel+flights+taxes from DTW</t>
        </is>
      </c>
      <c r="M81" s="20" t="inlineStr">
        <is>
          <t xml:space="preserve">4-star; 3403 reviews; </t>
        </is>
      </c>
    </row>
    <row r="82">
      <c r="A82" s="20" t="n">
        <v>80</v>
      </c>
      <c r="B82" s="20" t="inlineStr">
        <is>
          <t>2026-07-17T21:00:00</t>
        </is>
      </c>
      <c r="C82" s="20" t="inlineStr">
        <is>
          <t>SCOUT-UVF</t>
        </is>
      </c>
      <c r="D82" s="20" t="inlineStr">
        <is>
          <t>CheapCaribbean</t>
        </is>
      </c>
      <c r="E82" s="20" t="inlineStr">
        <is>
          <t>Package</t>
        </is>
      </c>
      <c r="F82" s="20" t="inlineStr">
        <is>
          <t>Royalton Saint Lucia - AI</t>
        </is>
      </c>
      <c r="G82" s="20" t="inlineStr">
        <is>
          <t>2026-08-08</t>
        </is>
      </c>
      <c r="H82" s="20" t="inlineStr">
        <is>
          <t>2026-08-15</t>
        </is>
      </c>
      <c r="I82" s="27" t="n">
        <v>4856</v>
      </c>
      <c r="J82" s="27" t="n">
        <v>2428</v>
      </c>
      <c r="K82" s="20" t="n"/>
      <c r="L82" s="20" t="inlineStr">
        <is>
          <t>$200 Jet Set July discount applied; hotel+flights+taxes from DTW</t>
        </is>
      </c>
      <c r="M82" s="20" t="inlineStr">
        <is>
          <t xml:space="preserve">5-star; 6388 reviews; </t>
        </is>
      </c>
    </row>
    <row r="83">
      <c r="A83" s="20" t="n">
        <v>81</v>
      </c>
      <c r="B83" s="20" t="inlineStr">
        <is>
          <t>2026-07-17T21:00:00</t>
        </is>
      </c>
      <c r="C83" s="20" t="inlineStr">
        <is>
          <t>SCOUT-UVF</t>
        </is>
      </c>
      <c r="D83" s="20" t="inlineStr">
        <is>
          <t>CheapCaribbean</t>
        </is>
      </c>
      <c r="E83" s="20" t="inlineStr">
        <is>
          <t>Package</t>
        </is>
      </c>
      <c r="F83" s="20" t="inlineStr">
        <is>
          <t>Zoetry Marigot Bay - AI</t>
        </is>
      </c>
      <c r="G83" s="20" t="inlineStr">
        <is>
          <t>2026-08-08</t>
        </is>
      </c>
      <c r="H83" s="20" t="inlineStr">
        <is>
          <t>2026-08-15</t>
        </is>
      </c>
      <c r="I83" s="27" t="n">
        <v>4890</v>
      </c>
      <c r="J83" s="27" t="n">
        <v>2445</v>
      </c>
      <c r="K83" s="20" t="n"/>
      <c r="L83" s="20" t="inlineStr">
        <is>
          <t>$200 Jet Set July discount applied; hotel+flights+taxes from DTW</t>
        </is>
      </c>
      <c r="M83" s="20" t="inlineStr">
        <is>
          <t>5-star; 1208 reviews; butler service</t>
        </is>
      </c>
    </row>
    <row r="84">
      <c r="A84" s="20" t="n">
        <v>82</v>
      </c>
      <c r="B84" s="20" t="inlineStr">
        <is>
          <t>2026-07-17T21:00:00</t>
        </is>
      </c>
      <c r="C84" s="20" t="inlineStr">
        <is>
          <t>SCOUT-UVF</t>
        </is>
      </c>
      <c r="D84" s="20" t="inlineStr">
        <is>
          <t>CheapCaribbean</t>
        </is>
      </c>
      <c r="E84" s="20" t="inlineStr">
        <is>
          <t>Package</t>
        </is>
      </c>
      <c r="F84" s="20" t="inlineStr">
        <is>
          <t>Coconut Bay Beach Resort - AI</t>
        </is>
      </c>
      <c r="G84" s="20" t="inlineStr">
        <is>
          <t>2026-08-08</t>
        </is>
      </c>
      <c r="H84" s="20" t="inlineStr">
        <is>
          <t>2026-08-15</t>
        </is>
      </c>
      <c r="I84" s="27" t="n">
        <v>4966</v>
      </c>
      <c r="J84" s="27" t="n">
        <v>2483</v>
      </c>
      <c r="K84" s="20" t="n"/>
      <c r="L84" s="20" t="inlineStr">
        <is>
          <t>$200 Jet Set July discount applied; hotel+flights+taxes from DTW</t>
        </is>
      </c>
      <c r="M84" s="20" t="inlineStr">
        <is>
          <t xml:space="preserve">4-star; 10171 reviews; </t>
        </is>
      </c>
    </row>
    <row r="85">
      <c r="A85" s="20" t="n">
        <v>83</v>
      </c>
      <c r="B85" s="20" t="inlineStr">
        <is>
          <t>2026-07-17T21:00:00</t>
        </is>
      </c>
      <c r="C85" s="20" t="inlineStr">
        <is>
          <t>SCOUT-UVF</t>
        </is>
      </c>
      <c r="D85" s="20" t="inlineStr">
        <is>
          <t>CheapCaribbean</t>
        </is>
      </c>
      <c r="E85" s="20" t="inlineStr">
        <is>
          <t>Package</t>
        </is>
      </c>
      <c r="F85" s="20" t="inlineStr">
        <is>
          <t>Royalton Hideaway St Lucia - AI - Adults Only</t>
        </is>
      </c>
      <c r="G85" s="20" t="inlineStr">
        <is>
          <t>2026-08-08</t>
        </is>
      </c>
      <c r="H85" s="20" t="inlineStr">
        <is>
          <t>2026-08-15</t>
        </is>
      </c>
      <c r="I85" s="27" t="n">
        <v>5172</v>
      </c>
      <c r="J85" s="27" t="n">
        <v>2586</v>
      </c>
      <c r="K85" s="20" t="n"/>
      <c r="L85" s="20" t="inlineStr">
        <is>
          <t>$200 Jet Set July discount applied; hotel+flights+taxes from DTW</t>
        </is>
      </c>
      <c r="M85" s="20" t="inlineStr">
        <is>
          <t>5-star; 3203 reviews; adults-only</t>
        </is>
      </c>
    </row>
    <row r="86">
      <c r="A86" s="20" t="n">
        <v>84</v>
      </c>
      <c r="B86" s="20" t="inlineStr">
        <is>
          <t>2026-07-17T21:00:00</t>
        </is>
      </c>
      <c r="C86" s="20" t="inlineStr">
        <is>
          <t>SCOUT-UVF</t>
        </is>
      </c>
      <c r="D86" s="20" t="inlineStr">
        <is>
          <t>CheapCaribbean</t>
        </is>
      </c>
      <c r="E86" s="20" t="inlineStr">
        <is>
          <t>Package</t>
        </is>
      </c>
      <c r="F86" s="20" t="inlineStr">
        <is>
          <t>Secrets St. Lucia - AI - Adults Only</t>
        </is>
      </c>
      <c r="G86" s="20" t="inlineStr">
        <is>
          <t>2026-08-08</t>
        </is>
      </c>
      <c r="H86" s="20" t="inlineStr">
        <is>
          <t>2026-08-15</t>
        </is>
      </c>
      <c r="I86" s="27" t="n">
        <v>5396</v>
      </c>
      <c r="J86" s="27" t="n">
        <v>2698</v>
      </c>
      <c r="K86" s="20" t="n"/>
      <c r="L86" s="20" t="inlineStr">
        <is>
          <t>$200 Jet Set July discount applied; hotel+flights+taxes from DTW</t>
        </is>
      </c>
      <c r="M86" s="20" t="inlineStr">
        <is>
          <t>5-star; 531 reviews; new resort</t>
        </is>
      </c>
    </row>
    <row r="87">
      <c r="A87" s="20" t="n">
        <v>85</v>
      </c>
      <c r="B87" s="20" t="inlineStr">
        <is>
          <t>2026-07-17T21:00:00</t>
        </is>
      </c>
      <c r="C87" s="20" t="inlineStr">
        <is>
          <t>SCOUT-BGI</t>
        </is>
      </c>
      <c r="D87" s="20" t="inlineStr">
        <is>
          <t>CheapCaribbean</t>
        </is>
      </c>
      <c r="E87" s="20" t="inlineStr">
        <is>
          <t>Package</t>
        </is>
      </c>
      <c r="F87" s="20" t="inlineStr">
        <is>
          <t>The Club Barbados - AI - Adults Only</t>
        </is>
      </c>
      <c r="G87" s="20" t="inlineStr">
        <is>
          <t>2026-08-08</t>
        </is>
      </c>
      <c r="H87" s="20" t="inlineStr">
        <is>
          <t>2026-08-15</t>
        </is>
      </c>
      <c r="I87" s="27" t="n">
        <v>4520</v>
      </c>
      <c r="J87" s="27" t="n">
        <v>2260</v>
      </c>
      <c r="K87" s="20" t="n"/>
      <c r="L87" s="20" t="inlineStr">
        <is>
          <t>$200 Jet Set July discount applied; hotel+flights+taxes from DTW</t>
        </is>
      </c>
      <c r="M87" s="20" t="inlineStr">
        <is>
          <t>3.5-star; 3042 reviews; adults-only</t>
        </is>
      </c>
    </row>
    <row r="88">
      <c r="A88" s="20" t="n">
        <v>86</v>
      </c>
      <c r="B88" s="20" t="inlineStr">
        <is>
          <t>2026-07-17T21:00:00</t>
        </is>
      </c>
      <c r="C88" s="20" t="inlineStr">
        <is>
          <t>SCOUT-BGI</t>
        </is>
      </c>
      <c r="D88" s="20" t="inlineStr">
        <is>
          <t>CheapCaribbean</t>
        </is>
      </c>
      <c r="E88" s="20" t="inlineStr">
        <is>
          <t>Package</t>
        </is>
      </c>
      <c r="F88" s="20" t="inlineStr">
        <is>
          <t>Savannah Beach Club - AI</t>
        </is>
      </c>
      <c r="G88" s="20" t="inlineStr">
        <is>
          <t>2026-08-08</t>
        </is>
      </c>
      <c r="H88" s="20" t="inlineStr">
        <is>
          <t>2026-08-15</t>
        </is>
      </c>
      <c r="I88" s="27" t="n">
        <v>4712</v>
      </c>
      <c r="J88" s="27" t="n">
        <v>2356</v>
      </c>
      <c r="K88" s="20" t="n"/>
      <c r="L88" s="20" t="inlineStr">
        <is>
          <t>$200 Jet Set July discount applied; hotel+flights+taxes from DTW</t>
        </is>
      </c>
      <c r="M88" s="20" t="inlineStr">
        <is>
          <t xml:space="preserve">4-star; 2580 reviews; </t>
        </is>
      </c>
    </row>
    <row r="89">
      <c r="A89" s="20" t="n">
        <v>87</v>
      </c>
      <c r="B89" s="20" t="inlineStr">
        <is>
          <t>2026-07-17T21:00:00</t>
        </is>
      </c>
      <c r="C89" s="20" t="inlineStr">
        <is>
          <t>SCOUT-BGI</t>
        </is>
      </c>
      <c r="D89" s="20" t="inlineStr">
        <is>
          <t>CheapCaribbean</t>
        </is>
      </c>
      <c r="E89" s="20" t="inlineStr">
        <is>
          <t>Package</t>
        </is>
      </c>
      <c r="F89" s="20" t="inlineStr">
        <is>
          <t>Waves Resort &amp; Spa - AI</t>
        </is>
      </c>
      <c r="G89" s="20" t="inlineStr">
        <is>
          <t>2026-08-08</t>
        </is>
      </c>
      <c r="H89" s="20" t="inlineStr">
        <is>
          <t>2026-08-15</t>
        </is>
      </c>
      <c r="I89" s="27" t="n">
        <v>5444</v>
      </c>
      <c r="J89" s="27" t="n">
        <v>2722</v>
      </c>
      <c r="K89" s="20" t="n"/>
      <c r="L89" s="20" t="inlineStr">
        <is>
          <t>$200 Jet Set July discount applied; hotel+flights+taxes from DTW</t>
        </is>
      </c>
      <c r="M89" s="20" t="inlineStr">
        <is>
          <t xml:space="preserve">4-star; 1242 reviews; </t>
        </is>
      </c>
    </row>
    <row r="90">
      <c r="A90" s="20" t="n">
        <v>88</v>
      </c>
      <c r="B90" s="20" t="inlineStr">
        <is>
          <t>2026-07-17T21:00:00</t>
        </is>
      </c>
      <c r="C90" s="20" t="inlineStr">
        <is>
          <t>SCOUT-BGI</t>
        </is>
      </c>
      <c r="D90" s="20" t="inlineStr">
        <is>
          <t>CheapCaribbean</t>
        </is>
      </c>
      <c r="E90" s="20" t="inlineStr">
        <is>
          <t>Package</t>
        </is>
      </c>
      <c r="F90" s="20" t="inlineStr">
        <is>
          <t>Turtle Beach Barbados - AI</t>
        </is>
      </c>
      <c r="G90" s="20" t="inlineStr">
        <is>
          <t>2026-08-08</t>
        </is>
      </c>
      <c r="H90" s="20" t="inlineStr">
        <is>
          <t>2026-08-15</t>
        </is>
      </c>
      <c r="I90" s="27" t="n">
        <v>5718</v>
      </c>
      <c r="J90" s="27" t="n">
        <v>2859</v>
      </c>
      <c r="K90" s="20" t="n"/>
      <c r="L90" s="20" t="inlineStr">
        <is>
          <t>$200 Jet Set July discount applied; hotel+flights+taxes from DTW</t>
        </is>
      </c>
      <c r="M90" s="20" t="inlineStr">
        <is>
          <t xml:space="preserve">4-star; 3606 reviews; </t>
        </is>
      </c>
    </row>
    <row r="91">
      <c r="A91" s="20" t="n">
        <v>89</v>
      </c>
      <c r="B91" s="20" t="inlineStr">
        <is>
          <t>2026-07-17T21:00:00</t>
        </is>
      </c>
      <c r="C91" s="20" t="inlineStr">
        <is>
          <t>SCOUT-BGI</t>
        </is>
      </c>
      <c r="D91" s="20" t="inlineStr">
        <is>
          <t>CheapCaribbean</t>
        </is>
      </c>
      <c r="E91" s="20" t="inlineStr">
        <is>
          <t>Package</t>
        </is>
      </c>
      <c r="F91" s="20" t="inlineStr">
        <is>
          <t>Sugar Bay Barbados - AI</t>
        </is>
      </c>
      <c r="G91" s="20" t="inlineStr">
        <is>
          <t>2026-08-08</t>
        </is>
      </c>
      <c r="H91" s="20" t="inlineStr">
        <is>
          <t>2026-08-15</t>
        </is>
      </c>
      <c r="I91" s="27" t="n">
        <v>6406</v>
      </c>
      <c r="J91" s="27" t="n">
        <v>3203</v>
      </c>
      <c r="K91" s="20" t="n"/>
      <c r="L91" s="20" t="inlineStr">
        <is>
          <t>$200 Jet Set July discount applied; hotel+flights+taxes from DTW</t>
        </is>
      </c>
      <c r="M91" s="20" t="inlineStr">
        <is>
          <t xml:space="preserve">4.5-star; 2603 reviews; </t>
        </is>
      </c>
    </row>
    <row r="92">
      <c r="A92" s="20" t="n">
        <v>90</v>
      </c>
      <c r="B92" s="20" t="inlineStr">
        <is>
          <t>2026-07-17T21:00:00</t>
        </is>
      </c>
      <c r="C92" s="20" t="inlineStr">
        <is>
          <t>SCOUT-SJU</t>
        </is>
      </c>
      <c r="D92" s="20" t="inlineStr">
        <is>
          <t>CheapCaribbean</t>
        </is>
      </c>
      <c r="E92" s="20" t="inlineStr">
        <is>
          <t>Package</t>
        </is>
      </c>
      <c r="F92" s="20" t="inlineStr">
        <is>
          <t>San Juan market (no AI scene)</t>
        </is>
      </c>
      <c r="G92" s="20" t="inlineStr">
        <is>
          <t>2026-08-08</t>
        </is>
      </c>
      <c r="H92" s="20" t="inlineStr">
        <is>
          <t>2026-08-15</t>
        </is>
      </c>
      <c r="I92" s="27" t="n">
        <v>0</v>
      </c>
      <c r="J92" s="27" t="n">
        <v>0</v>
      </c>
      <c r="K92" s="20" t="n"/>
      <c r="L92" s="20" t="n"/>
      <c r="M92" s="20" t="inlineStr">
        <is>
          <t>Puerto Rico: 42 hotels, no All-Inclusive filter offered; EP resorts from $953pp. Fails AI criterion.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2026-07-17T23:39:30Z</dcterms:created>
  <dcterms:modified xmlns:dcterms="http://purl.org/dc/terms/" xmlns:xsi="http://www.w3.org/2001/XMLSchema-instance" xsi:type="dcterms:W3CDTF">2026-07-17T23:39:30Z</dcterms:modified>
</cp:coreProperties>
</file>