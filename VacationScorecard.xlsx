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DateCheck" sheetId="3" state="visible" r:id="rId3"/>
    <sheet xmlns:r="http://schemas.openxmlformats.org/officeDocument/2006/relationships" name="Raw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i val="1"/>
      <color rgb="007F6000"/>
      <sz val="9"/>
    </font>
    <font>
      <name val="Arial"/>
      <b val="1"/>
    </font>
    <font>
      <name val="Arial"/>
    </font>
    <font>
      <name val="Arial"/>
      <b val="1"/>
      <sz val="9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b val="1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wrapText="1"/>
    </xf>
    <xf numFmtId="0" fontId="5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8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8" fillId="4" borderId="1" pivotButton="0" quotePrefix="0" xfId="0"/>
    <xf numFmtId="0" fontId="4" fillId="4" borderId="1" pivotButton="0" quotePrefix="0" xfId="0"/>
    <xf numFmtId="0" fontId="9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0" fillId="0" borderId="0" pivotButton="0" quotePrefix="0" xfId="0"/>
    <xf numFmtId="0" fontId="7" fillId="3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7" fillId="3" borderId="0" pivotButton="0" quotePrefix="0" xfId="0"/>
    <xf numFmtId="0" fontId="11" fillId="0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1" customWidth="1" min="4" max="4"/>
    <col width="7" customWidth="1" min="5" max="5"/>
    <col width="11" customWidth="1" min="6" max="6"/>
    <col width="13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7" customWidth="1" min="20" max="20"/>
    <col width="46" customWidth="1" min="21" max="21"/>
  </cols>
  <sheetData>
    <row r="1">
      <c r="A1" s="1" t="inlineStr">
        <is>
          <t>Vacation Scorecard — You + GF — DTW, 7 nights, all-inclusive, Aug 2026</t>
        </is>
      </c>
    </row>
    <row r="2">
      <c r="A2" s="2" t="inlineStr">
        <is>
          <t>Prices captured live 2026-07-17 from CheapCaribbean (flight+hotel+taxes, 2 adults, $200 Jet Set July promo applied). Aruba row from same source for comparison.</t>
        </is>
      </c>
    </row>
    <row r="3">
      <c r="A3" s="3" t="inlineStr">
        <is>
          <t>LEGEND: Yellow cells = weights you can change. Blue numbers = judgment scores (1-10) you can override. Black = formulas, leave alone. Weighted Score recalculates automatically.</t>
        </is>
      </c>
    </row>
    <row r="5">
      <c r="A5" s="4" t="inlineStr">
        <is>
          <t>Criterion weights (edit the yellow row):</t>
        </is>
      </c>
      <c r="J5" s="5" t="inlineStr">
        <is>
          <t>Price / Value</t>
        </is>
      </c>
      <c r="K5" s="5" t="inlineStr">
        <is>
          <t>Flight time</t>
        </is>
      </c>
      <c r="L5" s="5" t="inlineStr">
        <is>
          <t>Beach clarity</t>
        </is>
      </c>
      <c r="M5" s="5" t="inlineStr">
        <is>
          <t>Romance / AO</t>
        </is>
      </c>
      <c r="N5" s="5" t="inlineStr">
        <is>
          <t>Reviews</t>
        </is>
      </c>
      <c r="O5" s="5" t="inlineStr">
        <is>
          <t>Resort tier</t>
        </is>
      </c>
      <c r="P5" s="5" t="inlineStr">
        <is>
          <t>Date flexibility</t>
        </is>
      </c>
      <c r="Q5" s="5" t="inlineStr">
        <is>
          <t>Transfer ease</t>
        </is>
      </c>
      <c r="R5" s="5" t="inlineStr">
        <is>
          <t>Deal strength</t>
        </is>
      </c>
    </row>
    <row r="6">
      <c r="J6" s="6" t="n">
        <v>25</v>
      </c>
      <c r="K6" s="6" t="n">
        <v>15</v>
      </c>
      <c r="L6" s="6" t="n">
        <v>15</v>
      </c>
      <c r="M6" s="6" t="n">
        <v>10</v>
      </c>
      <c r="N6" s="6" t="n">
        <v>10</v>
      </c>
      <c r="O6" s="6" t="n">
        <v>10</v>
      </c>
      <c r="P6" s="6" t="n">
        <v>5</v>
      </c>
      <c r="Q6" s="6" t="n">
        <v>5</v>
      </c>
      <c r="R6" s="6" t="n">
        <v>5</v>
      </c>
    </row>
    <row r="7">
      <c r="A7" s="7" t="inlineStr">
        <is>
          <t>Option</t>
        </is>
      </c>
      <c r="B7" s="7" t="inlineStr">
        <is>
          <t>Resort</t>
        </is>
      </c>
      <c r="C7" s="7" t="inlineStr">
        <is>
          <t>Destination</t>
        </is>
      </c>
      <c r="D7" s="7" t="inlineStr">
        <is>
          <t>Adults-only</t>
        </is>
      </c>
      <c r="E7" s="7" t="inlineStr">
        <is>
          <t>Stars</t>
        </is>
      </c>
      <c r="F7" s="7" t="inlineStr">
        <is>
          <t>Reviews (#)</t>
        </is>
      </c>
      <c r="G7" s="7" t="inlineStr">
        <is>
          <t>Total $ (2 ppl)</t>
        </is>
      </c>
      <c r="H7" s="7" t="inlineStr">
        <is>
          <t>Flight (hrs)</t>
        </is>
      </c>
      <c r="I7" s="7" t="inlineStr">
        <is>
          <t>Transfer (mi)</t>
        </is>
      </c>
      <c r="J7" s="7" t="inlineStr">
        <is>
          <t>Price / Value</t>
        </is>
      </c>
      <c r="K7" s="7" t="inlineStr">
        <is>
          <t>Flight time</t>
        </is>
      </c>
      <c r="L7" s="7" t="inlineStr">
        <is>
          <t>Beach clarity</t>
        </is>
      </c>
      <c r="M7" s="7" t="inlineStr">
        <is>
          <t>Romance / AO</t>
        </is>
      </c>
      <c r="N7" s="7" t="inlineStr">
        <is>
          <t>Reviews</t>
        </is>
      </c>
      <c r="O7" s="7" t="inlineStr">
        <is>
          <t>Resort tier</t>
        </is>
      </c>
      <c r="P7" s="7" t="inlineStr">
        <is>
          <t>Date flexibility</t>
        </is>
      </c>
      <c r="Q7" s="7" t="inlineStr">
        <is>
          <t>Transfer ease</t>
        </is>
      </c>
      <c r="R7" s="7" t="inlineStr">
        <is>
          <t>Deal strength</t>
        </is>
      </c>
      <c r="S7" s="7" t="inlineStr">
        <is>
          <t>WEIGHTED SCORE</t>
        </is>
      </c>
      <c r="T7" s="7" t="inlineStr">
        <is>
          <t>RANK</t>
        </is>
      </c>
      <c r="U7" s="7" t="inlineStr">
        <is>
          <t>Notes</t>
        </is>
      </c>
    </row>
    <row r="8">
      <c r="A8" s="8" t="n">
        <v>1</v>
      </c>
      <c r="B8" s="8" t="inlineStr">
        <is>
          <t>Riu Latino (Adults Only)</t>
        </is>
      </c>
      <c r="C8" s="8" t="inlineStr">
        <is>
          <t>Costa Mujeres, Cancun</t>
        </is>
      </c>
      <c r="D8" s="8" t="inlineStr">
        <is>
          <t>Y</t>
        </is>
      </c>
      <c r="E8" s="8" t="n">
        <v>4.5</v>
      </c>
      <c r="F8" s="8" t="n">
        <v>2900</v>
      </c>
      <c r="G8" s="9" t="n">
        <v>2412</v>
      </c>
      <c r="H8" s="8" t="n">
        <v>3.75</v>
      </c>
      <c r="I8" s="8" t="n">
        <v>16.8</v>
      </c>
      <c r="J8" s="8">
        <f>ROUND(10*MIN($G$8:$G$19)/G8,1)</f>
        <v/>
      </c>
      <c r="K8" s="8">
        <f>ROUND(10*MIN($H$8:$H$19)/H8,1)</f>
        <v/>
      </c>
      <c r="L8" s="10" t="n">
        <v>9</v>
      </c>
      <c r="M8" s="10" t="n">
        <v>9</v>
      </c>
      <c r="N8" s="8">
        <f>MIN(10,ROUND(2*LOG10(F8+1)+2,1))</f>
        <v/>
      </c>
      <c r="O8" s="10" t="n">
        <v>8</v>
      </c>
      <c r="P8" s="10" t="n">
        <v>9</v>
      </c>
      <c r="Q8" s="8">
        <f>ROUND(10*MIN($I$8:$I$19)/I8,1)</f>
        <v/>
      </c>
      <c r="R8" s="10" t="n">
        <v>8</v>
      </c>
      <c r="S8" s="11">
        <f>ROUND(SUMPRODUCT($J$6:$R$6,J8:R8)/SUM($J$6:$R$6),2)</f>
        <v/>
      </c>
      <c r="T8" s="11">
        <f>RANK(S8,$S$8:$S$19)</f>
        <v/>
      </c>
      <c r="U8" s="8" t="inlineStr">
        <is>
          <t>Best value AO; new-ish resort; white-sand Costa Mujeres</t>
        </is>
      </c>
    </row>
    <row r="9">
      <c r="A9" s="12" t="n">
        <v>2</v>
      </c>
      <c r="B9" s="12" t="inlineStr">
        <is>
          <t>Riu Yucatan</t>
        </is>
      </c>
      <c r="C9" s="12" t="inlineStr">
        <is>
          <t>Playa del Carmen, MX</t>
        </is>
      </c>
      <c r="D9" s="12" t="inlineStr">
        <is>
          <t>N</t>
        </is>
      </c>
      <c r="E9" s="12" t="n">
        <v>4</v>
      </c>
      <c r="F9" s="12" t="n">
        <v>9389</v>
      </c>
      <c r="G9" s="13" t="n">
        <v>2134</v>
      </c>
      <c r="H9" s="12" t="n">
        <v>3.75</v>
      </c>
      <c r="I9" s="12" t="n">
        <v>33.2</v>
      </c>
      <c r="J9" s="12">
        <f>ROUND(10*MIN($G$8:$G$19)/G9,1)</f>
        <v/>
      </c>
      <c r="K9" s="12">
        <f>ROUND(10*MIN($H$8:$H$19)/H9,1)</f>
        <v/>
      </c>
      <c r="L9" s="14" t="n">
        <v>8</v>
      </c>
      <c r="M9" s="14" t="n">
        <v>6</v>
      </c>
      <c r="N9" s="12">
        <f>MIN(10,ROUND(2*LOG10(F9+1)+2,1))</f>
        <v/>
      </c>
      <c r="O9" s="14" t="n">
        <v>7</v>
      </c>
      <c r="P9" s="14" t="n">
        <v>9</v>
      </c>
      <c r="Q9" s="12">
        <f>ROUND(10*MIN($I$8:$I$19)/I9,1)</f>
        <v/>
      </c>
      <c r="R9" s="14" t="n">
        <v>8</v>
      </c>
      <c r="S9" s="15">
        <f>ROUND(SUMPRODUCT($J$6:$R$6,J9:R9)/SUM($J$6:$R$6),2)</f>
        <v/>
      </c>
      <c r="T9" s="15">
        <f>RANK(S9,$S$8:$S$19)</f>
        <v/>
      </c>
      <c r="U9" s="12" t="inlineStr">
        <is>
          <t>Cheapest beachfront; PDC walkable</t>
        </is>
      </c>
    </row>
    <row r="10">
      <c r="A10" s="8" t="n">
        <v>3</v>
      </c>
      <c r="B10" s="8" t="inlineStr">
        <is>
          <t>Catalonia Riviera Maya</t>
        </is>
      </c>
      <c r="C10" s="8" t="inlineStr">
        <is>
          <t>Riviera Maya, MX</t>
        </is>
      </c>
      <c r="D10" s="8" t="inlineStr">
        <is>
          <t>N</t>
        </is>
      </c>
      <c r="E10" s="8" t="n">
        <v>5</v>
      </c>
      <c r="F10" s="8" t="n">
        <v>3183</v>
      </c>
      <c r="G10" s="9" t="n">
        <v>2144</v>
      </c>
      <c r="H10" s="8" t="n">
        <v>3.75</v>
      </c>
      <c r="I10" s="8" t="n">
        <v>43.2</v>
      </c>
      <c r="J10" s="8">
        <f>ROUND(10*MIN($G$8:$G$19)/G10,1)</f>
        <v/>
      </c>
      <c r="K10" s="8">
        <f>ROUND(10*MIN($H$8:$H$19)/H10,1)</f>
        <v/>
      </c>
      <c r="L10" s="10" t="n">
        <v>8</v>
      </c>
      <c r="M10" s="10" t="n">
        <v>7</v>
      </c>
      <c r="N10" s="8">
        <f>MIN(10,ROUND(2*LOG10(F10+1)+2,1))</f>
        <v/>
      </c>
      <c r="O10" s="10" t="n">
        <v>8</v>
      </c>
      <c r="P10" s="10" t="n">
        <v>9</v>
      </c>
      <c r="Q10" s="8">
        <f>ROUND(10*MIN($I$8:$I$19)/I10,1)</f>
        <v/>
      </c>
      <c r="R10" s="10" t="n">
        <v>8</v>
      </c>
      <c r="S10" s="11">
        <f>ROUND(SUMPRODUCT($J$6:$R$6,J10:R10)/SUM($J$6:$R$6),2)</f>
        <v/>
      </c>
      <c r="T10" s="11">
        <f>RANK(S10,$S$8:$S$19)</f>
        <v/>
      </c>
      <c r="U10" s="8" t="inlineStr">
        <is>
          <t>5-star price outlier; swim-up rooms; long transfer</t>
        </is>
      </c>
    </row>
    <row r="11">
      <c r="A11" s="12" t="n">
        <v>4</v>
      </c>
      <c r="B11" s="12" t="inlineStr">
        <is>
          <t>Hotel Marina El Cid</t>
        </is>
      </c>
      <c r="C11" s="12" t="inlineStr">
        <is>
          <t>Puerto Morelos, MX</t>
        </is>
      </c>
      <c r="D11" s="12" t="inlineStr">
        <is>
          <t>N</t>
        </is>
      </c>
      <c r="E11" s="12" t="n">
        <v>4.5</v>
      </c>
      <c r="F11" s="12" t="n">
        <v>10786</v>
      </c>
      <c r="G11" s="13" t="n">
        <v>2310</v>
      </c>
      <c r="H11" s="12" t="n">
        <v>3.75</v>
      </c>
      <c r="I11" s="12" t="n">
        <v>14.1</v>
      </c>
      <c r="J11" s="12">
        <f>ROUND(10*MIN($G$8:$G$19)/G11,1)</f>
        <v/>
      </c>
      <c r="K11" s="12">
        <f>ROUND(10*MIN($H$8:$H$19)/H11,1)</f>
        <v/>
      </c>
      <c r="L11" s="14" t="n">
        <v>7</v>
      </c>
      <c r="M11" s="14" t="n">
        <v>6</v>
      </c>
      <c r="N11" s="12">
        <f>MIN(10,ROUND(2*LOG10(F11+1)+2,1))</f>
        <v/>
      </c>
      <c r="O11" s="14" t="n">
        <v>8</v>
      </c>
      <c r="P11" s="14" t="n">
        <v>9</v>
      </c>
      <c r="Q11" s="12">
        <f>ROUND(10*MIN($I$8:$I$19)/I11,1)</f>
        <v/>
      </c>
      <c r="R11" s="14" t="n">
        <v>8</v>
      </c>
      <c r="S11" s="15">
        <f>ROUND(SUMPRODUCT($J$6:$R$6,J11:R11)/SUM($J$6:$R$6),2)</f>
        <v/>
      </c>
      <c r="T11" s="15">
        <f>RANK(S11,$S$8:$S$19)</f>
        <v/>
      </c>
      <c r="U11" s="12" t="inlineStr">
        <is>
          <t>Calm clear bay; big review base</t>
        </is>
      </c>
    </row>
    <row r="12">
      <c r="A12" s="8" t="n">
        <v>5</v>
      </c>
      <c r="B12" s="8" t="inlineStr">
        <is>
          <t>Riu Palace Punta Cana</t>
        </is>
      </c>
      <c r="C12" s="8" t="inlineStr">
        <is>
          <t>Punta Cana, DR</t>
        </is>
      </c>
      <c r="D12" s="8" t="inlineStr">
        <is>
          <t>N</t>
        </is>
      </c>
      <c r="E12" s="8" t="n">
        <v>5</v>
      </c>
      <c r="F12" s="8" t="n">
        <v>4067</v>
      </c>
      <c r="G12" s="9" t="n">
        <v>2454</v>
      </c>
      <c r="H12" s="8" t="n">
        <v>4.25</v>
      </c>
      <c r="I12" s="8" t="n">
        <v>12.2</v>
      </c>
      <c r="J12" s="8">
        <f>ROUND(10*MIN($G$8:$G$19)/G12,1)</f>
        <v/>
      </c>
      <c r="K12" s="8">
        <f>ROUND(10*MIN($H$8:$H$19)/H12,1)</f>
        <v/>
      </c>
      <c r="L12" s="10" t="n">
        <v>9</v>
      </c>
      <c r="M12" s="10" t="n">
        <v>7</v>
      </c>
      <c r="N12" s="8">
        <f>MIN(10,ROUND(2*LOG10(F12+1)+2,1))</f>
        <v/>
      </c>
      <c r="O12" s="10" t="n">
        <v>9</v>
      </c>
      <c r="P12" s="10" t="n">
        <v>8</v>
      </c>
      <c r="Q12" s="8">
        <f>ROUND(10*MIN($I$8:$I$19)/I12,1)</f>
        <v/>
      </c>
      <c r="R12" s="10" t="n">
        <v>8</v>
      </c>
      <c r="S12" s="11">
        <f>ROUND(SUMPRODUCT($J$6:$R$6,J12:R12)/SUM($J$6:$R$6),2)</f>
        <v/>
      </c>
      <c r="T12" s="11">
        <f>RANK(S12,$S$8:$S$19)</f>
        <v/>
      </c>
      <c r="U12" s="8" t="inlineStr">
        <is>
          <t>Palace tier under $1,250/pp</t>
        </is>
      </c>
    </row>
    <row r="13">
      <c r="A13" s="12" t="n">
        <v>6</v>
      </c>
      <c r="B13" s="12" t="inlineStr">
        <is>
          <t>Barcelo Bavaro Beach (Adults Only)</t>
        </is>
      </c>
      <c r="C13" s="12" t="inlineStr">
        <is>
          <t>Bavaro, Punta Cana, DR</t>
        </is>
      </c>
      <c r="D13" s="12" t="inlineStr">
        <is>
          <t>Y</t>
        </is>
      </c>
      <c r="E13" s="12" t="n">
        <v>4</v>
      </c>
      <c r="F13" s="12" t="n">
        <v>16399</v>
      </c>
      <c r="G13" s="13" t="n">
        <v>2460</v>
      </c>
      <c r="H13" s="12" t="n">
        <v>4.25</v>
      </c>
      <c r="I13" s="12" t="n">
        <v>7</v>
      </c>
      <c r="J13" s="12">
        <f>ROUND(10*MIN($G$8:$G$19)/G13,1)</f>
        <v/>
      </c>
      <c r="K13" s="12">
        <f>ROUND(10*MIN($H$8:$H$19)/H13,1)</f>
        <v/>
      </c>
      <c r="L13" s="14" t="n">
        <v>9</v>
      </c>
      <c r="M13" s="14" t="n">
        <v>9</v>
      </c>
      <c r="N13" s="12">
        <f>MIN(10,ROUND(2*LOG10(F13+1)+2,1))</f>
        <v/>
      </c>
      <c r="O13" s="14" t="n">
        <v>7</v>
      </c>
      <c r="P13" s="14" t="n">
        <v>8</v>
      </c>
      <c r="Q13" s="12">
        <f>ROUND(10*MIN($I$8:$I$19)/I13,1)</f>
        <v/>
      </c>
      <c r="R13" s="14" t="n">
        <v>8</v>
      </c>
      <c r="S13" s="15">
        <f>ROUND(SUMPRODUCT($J$6:$R$6,J13:R13)/SUM($J$6:$R$6),2)</f>
        <v/>
      </c>
      <c r="T13" s="15">
        <f>RANK(S13,$S$8:$S$19)</f>
        <v/>
      </c>
      <c r="U13" s="12" t="inlineStr">
        <is>
          <t>AO on Bavaro white sand; 16k reviews</t>
        </is>
      </c>
    </row>
    <row r="14">
      <c r="A14" s="8" t="n">
        <v>7</v>
      </c>
      <c r="B14" s="8" t="inlineStr">
        <is>
          <t>Riu Palace Macao (Adults Only)</t>
        </is>
      </c>
      <c r="C14" s="8" t="inlineStr">
        <is>
          <t>Punta Cana, DR</t>
        </is>
      </c>
      <c r="D14" s="8" t="inlineStr">
        <is>
          <t>Y</t>
        </is>
      </c>
      <c r="E14" s="8" t="n">
        <v>5</v>
      </c>
      <c r="F14" s="8" t="n">
        <v>6928</v>
      </c>
      <c r="G14" s="9" t="n">
        <v>2904</v>
      </c>
      <c r="H14" s="8" t="n">
        <v>4.25</v>
      </c>
      <c r="I14" s="8" t="n">
        <v>11.7</v>
      </c>
      <c r="J14" s="8">
        <f>ROUND(10*MIN($G$8:$G$19)/G14,1)</f>
        <v/>
      </c>
      <c r="K14" s="8">
        <f>ROUND(10*MIN($H$8:$H$19)/H14,1)</f>
        <v/>
      </c>
      <c r="L14" s="10" t="n">
        <v>9</v>
      </c>
      <c r="M14" s="10" t="n">
        <v>10</v>
      </c>
      <c r="N14" s="8">
        <f>MIN(10,ROUND(2*LOG10(F14+1)+2,1))</f>
        <v/>
      </c>
      <c r="O14" s="10" t="n">
        <v>9</v>
      </c>
      <c r="P14" s="10" t="n">
        <v>8</v>
      </c>
      <c r="Q14" s="8">
        <f>ROUND(10*MIN($I$8:$I$19)/I14,1)</f>
        <v/>
      </c>
      <c r="R14" s="10" t="n">
        <v>8</v>
      </c>
      <c r="S14" s="11">
        <f>ROUND(SUMPRODUCT($J$6:$R$6,J14:R14)/SUM($J$6:$R$6),2)</f>
        <v/>
      </c>
      <c r="T14" s="11">
        <f>RANK(S14,$S$8:$S$19)</f>
        <v/>
      </c>
      <c r="U14" s="8" t="inlineStr">
        <is>
          <t>Beachfront swim-up suites; honeymoon pick</t>
        </is>
      </c>
    </row>
    <row r="15">
      <c r="A15" s="12" t="n">
        <v>8</v>
      </c>
      <c r="B15" s="12" t="inlineStr">
        <is>
          <t>Secrets The Vine (Adults Only)</t>
        </is>
      </c>
      <c r="C15" s="12" t="inlineStr">
        <is>
          <t>Cancun Hotel Zone, MX</t>
        </is>
      </c>
      <c r="D15" s="12" t="inlineStr">
        <is>
          <t>Y</t>
        </is>
      </c>
      <c r="E15" s="12" t="n">
        <v>5</v>
      </c>
      <c r="F15" s="12" t="n">
        <v>19475</v>
      </c>
      <c r="G15" s="13" t="n">
        <v>2924</v>
      </c>
      <c r="H15" s="12" t="n">
        <v>3.75</v>
      </c>
      <c r="I15" s="12" t="n">
        <v>7.7</v>
      </c>
      <c r="J15" s="12">
        <f>ROUND(10*MIN($G$8:$G$19)/G15,1)</f>
        <v/>
      </c>
      <c r="K15" s="12">
        <f>ROUND(10*MIN($H$8:$H$19)/H15,1)</f>
        <v/>
      </c>
      <c r="L15" s="14" t="n">
        <v>9</v>
      </c>
      <c r="M15" s="14" t="n">
        <v>10</v>
      </c>
      <c r="N15" s="12">
        <f>MIN(10,ROUND(2*LOG10(F15+1)+2,1))</f>
        <v/>
      </c>
      <c r="O15" s="14" t="n">
        <v>10</v>
      </c>
      <c r="P15" s="14" t="n">
        <v>9</v>
      </c>
      <c r="Q15" s="12">
        <f>ROUND(10*MIN($I$8:$I$19)/I15,1)</f>
        <v/>
      </c>
      <c r="R15" s="14" t="n">
        <v>8</v>
      </c>
      <c r="S15" s="15">
        <f>ROUND(SUMPRODUCT($J$6:$R$6,J15:R15)/SUM($J$6:$R$6),2)</f>
        <v/>
      </c>
      <c r="T15" s="15">
        <f>RANK(S15,$S$8:$S$19)</f>
        <v/>
      </c>
      <c r="U15" s="12" t="inlineStr">
        <is>
          <t>Romance splurge; 19k reviews</t>
        </is>
      </c>
    </row>
    <row r="16">
      <c r="A16" s="8" t="n">
        <v>9</v>
      </c>
      <c r="B16" s="8" t="inlineStr">
        <is>
          <t>Riu Negril</t>
        </is>
      </c>
      <c r="C16" s="8" t="inlineStr">
        <is>
          <t>Negril, Jamaica</t>
        </is>
      </c>
      <c r="D16" s="8" t="inlineStr">
        <is>
          <t>N</t>
        </is>
      </c>
      <c r="E16" s="8" t="n">
        <v>4</v>
      </c>
      <c r="F16" s="8" t="n">
        <v>9094</v>
      </c>
      <c r="G16" s="9" t="n">
        <v>2906</v>
      </c>
      <c r="H16" s="8" t="n">
        <v>4</v>
      </c>
      <c r="I16" s="8" t="n">
        <v>29.3</v>
      </c>
      <c r="J16" s="8">
        <f>ROUND(10*MIN($G$8:$G$19)/G16,1)</f>
        <v/>
      </c>
      <c r="K16" s="8">
        <f>ROUND(10*MIN($H$8:$H$19)/H16,1)</f>
        <v/>
      </c>
      <c r="L16" s="10" t="n">
        <v>9</v>
      </c>
      <c r="M16" s="10" t="n">
        <v>6</v>
      </c>
      <c r="N16" s="8">
        <f>MIN(10,ROUND(2*LOG10(F16+1)+2,1))</f>
        <v/>
      </c>
      <c r="O16" s="10" t="n">
        <v>7</v>
      </c>
      <c r="P16" s="10" t="n">
        <v>7</v>
      </c>
      <c r="Q16" s="8">
        <f>ROUND(10*MIN($I$8:$I$19)/I16,1)</f>
        <v/>
      </c>
      <c r="R16" s="10" t="n">
        <v>7</v>
      </c>
      <c r="S16" s="11">
        <f>ROUND(SUMPRODUCT($J$6:$R$6,J16:R16)/SUM($J$6:$R$6),2)</f>
        <v/>
      </c>
      <c r="T16" s="11">
        <f>RANK(S16,$S$8:$S$19)</f>
        <v/>
      </c>
      <c r="U16" s="8" t="inlineStr">
        <is>
          <t>Seven Mile Beach area clarity</t>
        </is>
      </c>
    </row>
    <row r="17">
      <c r="A17" s="12" t="n">
        <v>10</v>
      </c>
      <c r="B17" s="12" t="inlineStr">
        <is>
          <t>Riu Palace Paradise Island (AO)</t>
        </is>
      </c>
      <c r="C17" s="12" t="inlineStr">
        <is>
          <t>Nassau, Bahamas</t>
        </is>
      </c>
      <c r="D17" s="12" t="inlineStr">
        <is>
          <t>Y</t>
        </is>
      </c>
      <c r="E17" s="12" t="n">
        <v>4.5</v>
      </c>
      <c r="F17" s="12" t="n">
        <v>2973</v>
      </c>
      <c r="G17" s="13" t="n">
        <v>3716</v>
      </c>
      <c r="H17" s="12" t="n">
        <v>3</v>
      </c>
      <c r="I17" s="12" t="n">
        <v>9.800000000000001</v>
      </c>
      <c r="J17" s="12">
        <f>ROUND(10*MIN($G$8:$G$19)/G17,1)</f>
        <v/>
      </c>
      <c r="K17" s="12">
        <f>ROUND(10*MIN($H$8:$H$19)/H17,1)</f>
        <v/>
      </c>
      <c r="L17" s="14" t="n">
        <v>10</v>
      </c>
      <c r="M17" s="14" t="n">
        <v>9</v>
      </c>
      <c r="N17" s="12">
        <f>MIN(10,ROUND(2*LOG10(F17+1)+2,1))</f>
        <v/>
      </c>
      <c r="O17" s="14" t="n">
        <v>9</v>
      </c>
      <c r="P17" s="14" t="n">
        <v>7</v>
      </c>
      <c r="Q17" s="12">
        <f>ROUND(10*MIN($I$8:$I$19)/I17,1)</f>
        <v/>
      </c>
      <c r="R17" s="14" t="n">
        <v>6</v>
      </c>
      <c r="S17" s="15">
        <f>ROUND(SUMPRODUCT($J$6:$R$6,J17:R17)/SUM($J$6:$R$6),2)</f>
        <v/>
      </c>
      <c r="T17" s="15">
        <f>RANK(S17,$S$8:$S$19)</f>
        <v/>
      </c>
      <c r="U17" s="12" t="inlineStr">
        <is>
          <t>Cabbage Beach; shortest flight; GF's Bahamas ask</t>
        </is>
      </c>
    </row>
    <row r="18">
      <c r="A18" s="8" t="n">
        <v>11</v>
      </c>
      <c r="B18" s="8" t="inlineStr">
        <is>
          <t>Riu Tequila (wildcard)</t>
        </is>
      </c>
      <c r="C18" s="8" t="inlineStr">
        <is>
          <t>Playa del Carmen, MX</t>
        </is>
      </c>
      <c r="D18" s="8" t="inlineStr">
        <is>
          <t>N</t>
        </is>
      </c>
      <c r="E18" s="8" t="n">
        <v>4</v>
      </c>
      <c r="F18" s="8" t="n">
        <v>12758</v>
      </c>
      <c r="G18" s="9" t="n">
        <v>1970</v>
      </c>
      <c r="H18" s="8" t="n">
        <v>3.75</v>
      </c>
      <c r="I18" s="8" t="n">
        <v>33</v>
      </c>
      <c r="J18" s="8">
        <f>ROUND(10*MIN($G$8:$G$19)/G18,1)</f>
        <v/>
      </c>
      <c r="K18" s="8">
        <f>ROUND(10*MIN($H$8:$H$19)/H18,1)</f>
        <v/>
      </c>
      <c r="L18" s="10" t="n">
        <v>7</v>
      </c>
      <c r="M18" s="10" t="n">
        <v>6</v>
      </c>
      <c r="N18" s="8">
        <f>MIN(10,ROUND(2*LOG10(F18+1)+2,1))</f>
        <v/>
      </c>
      <c r="O18" s="10" t="n">
        <v>6</v>
      </c>
      <c r="P18" s="10" t="n">
        <v>9</v>
      </c>
      <c r="Q18" s="8">
        <f>ROUND(10*MIN($I$8:$I$19)/I18,1)</f>
        <v/>
      </c>
      <c r="R18" s="10" t="n">
        <v>9</v>
      </c>
      <c r="S18" s="11">
        <f>ROUND(SUMPRODUCT($J$6:$R$6,J18:R18)/SUM($J$6:$R$6),2)</f>
        <v/>
      </c>
      <c r="T18" s="11">
        <f>RANK(S18,$S$8:$S$19)</f>
        <v/>
      </c>
      <c r="U18" s="8" t="inlineStr">
        <is>
          <t>Cheapest overall but OFF-beach (shuttle)</t>
        </is>
      </c>
    </row>
    <row r="19">
      <c r="A19" s="12" t="n">
        <v>12</v>
      </c>
      <c r="B19" s="12" t="inlineStr">
        <is>
          <t>Riu Palace Aruba (reference)</t>
        </is>
      </c>
      <c r="C19" s="12" t="inlineStr">
        <is>
          <t>Palm Beach, Aruba</t>
        </is>
      </c>
      <c r="D19" s="12" t="inlineStr">
        <is>
          <t>N</t>
        </is>
      </c>
      <c r="E19" s="12" t="n">
        <v>4</v>
      </c>
      <c r="F19" s="12" t="n">
        <v>9500</v>
      </c>
      <c r="G19" s="13" t="n">
        <v>5972</v>
      </c>
      <c r="H19" s="12" t="n">
        <v>6.7</v>
      </c>
      <c r="I19" s="12" t="n">
        <v>5.1</v>
      </c>
      <c r="J19" s="12">
        <f>ROUND(10*MIN($G$8:$G$19)/G19,1)</f>
        <v/>
      </c>
      <c r="K19" s="12">
        <f>ROUND(10*MIN($H$8:$H$19)/H19,1)</f>
        <v/>
      </c>
      <c r="L19" s="14" t="n">
        <v>9</v>
      </c>
      <c r="M19" s="14" t="n">
        <v>7</v>
      </c>
      <c r="N19" s="12">
        <f>MIN(10,ROUND(2*LOG10(F19+1)+2,1))</f>
        <v/>
      </c>
      <c r="O19" s="14" t="n">
        <v>9</v>
      </c>
      <c r="P19" s="14" t="n">
        <v>3</v>
      </c>
      <c r="Q19" s="12">
        <f>ROUND(10*MIN($I$8:$I$19)/I19,1)</f>
        <v/>
      </c>
      <c r="R19" s="14" t="n">
        <v>4</v>
      </c>
      <c r="S19" s="15">
        <f>ROUND(SUMPRODUCT($J$6:$R$6,J19:R19)/SUM($J$6:$R$6),2)</f>
        <v/>
      </c>
      <c r="T19" s="15">
        <f>RANK(S19,$S$8:$S$19)</f>
        <v/>
      </c>
      <c r="U19" s="12" t="inlineStr">
        <is>
          <t>Original target; 2.5x Mexico price in August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60" customWidth="1" min="3" max="3"/>
    <col width="60" customWidth="1" min="4" max="4"/>
  </cols>
  <sheetData>
    <row r="1">
      <c r="A1" s="16" t="inlineStr">
        <is>
          <t>Scoring criteria — how each 1-10 score is produced</t>
        </is>
      </c>
    </row>
    <row r="3">
      <c r="A3" s="17" t="inlineStr">
        <is>
          <t>Criterion</t>
        </is>
      </c>
      <c r="B3" s="17" t="inlineStr">
        <is>
          <t>Weight</t>
        </is>
      </c>
      <c r="C3" s="17" t="inlineStr">
        <is>
          <t>How it is scored</t>
        </is>
      </c>
      <c r="D3" s="17" t="inlineStr">
        <is>
          <t>Source / assumption</t>
        </is>
      </c>
    </row>
    <row r="4">
      <c r="A4" s="18" t="inlineStr">
        <is>
          <t>Price / Value</t>
        </is>
      </c>
      <c r="B4" s="18" t="inlineStr">
        <is>
          <t>25</t>
        </is>
      </c>
      <c r="C4" s="18" t="inlineStr">
        <is>
          <t>FORMULA: 10 x cheapest option price / this option price</t>
        </is>
      </c>
      <c r="D4" s="18" t="inlineStr">
        <is>
          <t>Live CheapCaribbean totals 2026-07-17 (flight+hotel+taxes, 2 adults)</t>
        </is>
      </c>
    </row>
    <row r="5">
      <c r="A5" s="18" t="inlineStr">
        <is>
          <t>Flight time</t>
        </is>
      </c>
      <c r="B5" s="18" t="inlineStr">
        <is>
          <t>15</t>
        </is>
      </c>
      <c r="C5" s="18" t="inlineStr">
        <is>
          <t>FORMULA: 10 x shortest flight hrs / this option hrs</t>
        </is>
      </c>
      <c r="D5" s="18" t="inlineStr">
        <is>
          <t>Approx gate-to-gate from DTW: CUN 3.75 nonstop (Delta daily), PUJ 4.25, MBJ 4.0, NAS 3.0, AUA 6.7 (1-stop only until Dec). Verify exact itinerary at checkout.</t>
        </is>
      </c>
    </row>
    <row r="6">
      <c r="A6" s="18" t="inlineStr">
        <is>
          <t>Beach clarity</t>
        </is>
      </c>
      <c r="B6" s="18" t="inlineStr">
        <is>
          <t>15</t>
        </is>
      </c>
      <c r="C6" s="18" t="inlineStr">
        <is>
          <t>JUDGMENT 1-10 (blue, editable): water clarity/turquoise at that specific beach</t>
        </is>
      </c>
      <c r="D6" s="18" t="inlineStr">
        <is>
          <t>Costa Mujeres/Bavaro/Negril/Cabbage Beach rank highest; Puerto Morelos calm but seagrass possible in Aug; off-beach resorts penalized</t>
        </is>
      </c>
    </row>
    <row r="7">
      <c r="A7" s="18" t="inlineStr">
        <is>
          <t>Romance / AO</t>
        </is>
      </c>
      <c r="B7" s="18" t="inlineStr">
        <is>
          <t>10</t>
        </is>
      </c>
      <c r="C7" s="18" t="inlineStr">
        <is>
          <t>JUDGMENT 1-10: adults-only = 9-10, lively family resort = 5-7</t>
        </is>
      </c>
      <c r="D7" s="18" t="inlineStr">
        <is>
          <t>Adults-only flag from listing</t>
        </is>
      </c>
    </row>
    <row r="8">
      <c r="A8" s="18" t="inlineStr">
        <is>
          <t>Reviews</t>
        </is>
      </c>
      <c r="B8" s="18" t="inlineStr">
        <is>
          <t>10</t>
        </is>
      </c>
      <c r="C8" s="18" t="inlineStr">
        <is>
          <t>FORMULA: MIN(10, 2xLOG10(review count+1)+2) — rewards social proof volume</t>
        </is>
      </c>
      <c r="D8" s="18" t="inlineStr">
        <is>
          <t>Review counts from CheapCaribbean listings</t>
        </is>
      </c>
    </row>
    <row r="9">
      <c r="A9" s="18" t="inlineStr">
        <is>
          <t>Resort tier</t>
        </is>
      </c>
      <c r="B9" s="18" t="inlineStr">
        <is>
          <t>10</t>
        </is>
      </c>
      <c r="C9" s="18" t="inlineStr">
        <is>
          <t>JUDGMENT 1-10: Palace/Secrets tier 9-10, standard 4-star Riu 6-8</t>
        </is>
      </c>
      <c r="D9" s="18" t="inlineStr">
        <is>
          <t>Star class + brand tier</t>
        </is>
      </c>
    </row>
    <row r="10">
      <c r="A10" s="18" t="inlineStr">
        <is>
          <t>Date flexibility</t>
        </is>
      </c>
      <c r="B10" s="18" t="inlineStr">
        <is>
          <t>5</t>
        </is>
      </c>
      <c r="C10" s="18" t="inlineStr">
        <is>
          <t>JUDGMENT informed by DATA: we price-checked Aug 8/9/10/11 starts for Cancun — Aug 8 was cheapest every time (see DateCheck tab). 9 = stable/checked, 7 = unchecked destination, 3 = Aruba (high + rising)</t>
        </is>
      </c>
      <c r="D10" s="18" t="inlineStr">
        <is>
          <t>Live checks 2026-07-17</t>
        </is>
      </c>
    </row>
    <row r="11">
      <c r="A11" s="18" t="inlineStr">
        <is>
          <t>Transfer ease</t>
        </is>
      </c>
      <c r="B11" s="18" t="inlineStr">
        <is>
          <t>5</t>
        </is>
      </c>
      <c r="C11" s="18" t="inlineStr">
        <is>
          <t>FORMULA: 10 x shortest airport distance / this distance</t>
        </is>
      </c>
      <c r="D11" s="18" t="inlineStr">
        <is>
          <t>Miles from airport per listing</t>
        </is>
      </c>
    </row>
    <row r="12">
      <c r="A12" s="18" t="inlineStr">
        <is>
          <t>Deal strength</t>
        </is>
      </c>
      <c r="B12" s="18" t="inlineStr">
        <is>
          <t>5</t>
        </is>
      </c>
      <c r="C12" s="18" t="inlineStr">
        <is>
          <t>JUDGMENT 1-10: promo depth and how far below typical the price sits</t>
        </is>
      </c>
      <c r="D12" s="18" t="inlineStr">
        <is>
          <t>$200 Jet Set July applies to all; Mexico/DR August prices are seasonally soft = good deals; Aruba flagged HIGH by Google = 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9" t="inlineStr">
        <is>
          <t>Date-shift check — Cancun marker resorts, per-person package price (2 adults, 7 nights)</t>
        </is>
      </c>
    </row>
    <row r="2">
      <c r="A2" s="2" t="inlineStr">
        <is>
          <t>User allowed slipping the start from Aug 8 to as late as Aug 11 (keeping a week). Checked live 2026-07-17: the original Sat Aug 8 start was the CHEAPEST in every case.</t>
        </is>
      </c>
    </row>
    <row r="4">
      <c r="A4" s="20" t="inlineStr">
        <is>
          <t>Resort</t>
        </is>
      </c>
      <c r="B4" s="20" t="inlineStr">
        <is>
          <t>Aug 8-15</t>
        </is>
      </c>
      <c r="C4" s="20" t="inlineStr">
        <is>
          <t>Aug 9-16</t>
        </is>
      </c>
      <c r="D4" s="20" t="inlineStr">
        <is>
          <t>Aug 10-17</t>
        </is>
      </c>
      <c r="E4" s="20" t="inlineStr">
        <is>
          <t>Aug 11-18</t>
        </is>
      </c>
      <c r="F4" s="20" t="inlineStr">
        <is>
          <t>Cheapest start</t>
        </is>
      </c>
    </row>
    <row r="5">
      <c r="A5" s="21" t="inlineStr">
        <is>
          <t>Riu Latino (AO)</t>
        </is>
      </c>
      <c r="B5" s="22" t="n">
        <v>1206</v>
      </c>
      <c r="C5" s="22" t="n">
        <v>1307</v>
      </c>
      <c r="D5" s="22" t="n">
        <v>1274</v>
      </c>
      <c r="E5" s="22" t="n">
        <v>1241</v>
      </c>
      <c r="F5">
        <f>INDEX($B$4:$E$4,MATCH(MIN(B5:E5),B5:E5,0))</f>
        <v/>
      </c>
    </row>
    <row r="6">
      <c r="A6" s="21" t="inlineStr">
        <is>
          <t>Secrets The Vine (AO)</t>
        </is>
      </c>
      <c r="B6" s="22" t="n">
        <v>1462</v>
      </c>
      <c r="C6" s="22" t="n">
        <v>1561</v>
      </c>
      <c r="D6" s="22" t="n">
        <v>1500</v>
      </c>
      <c r="E6" s="22" t="n">
        <v>1472</v>
      </c>
      <c r="F6">
        <f>INDEX($B$4:$E$4,MATCH(MIN(B6:E6),B6:E6,0))</f>
        <v/>
      </c>
    </row>
    <row r="7">
      <c r="A7" s="21" t="inlineStr">
        <is>
          <t>Hotel Marina El Cid</t>
        </is>
      </c>
      <c r="B7" s="22" t="n">
        <v>1155</v>
      </c>
      <c r="C7" s="22" t="n">
        <v>1257</v>
      </c>
      <c r="D7" s="22" t="n">
        <v>1235</v>
      </c>
      <c r="E7" s="22" t="n">
        <v>1213</v>
      </c>
      <c r="F7">
        <f>INDEX($B$4:$E$4,MATCH(MIN(B7:E7),B7:E7,0))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9" customWidth="1" min="5" max="5"/>
    <col width="38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34" customWidth="1" min="12" max="12"/>
    <col width="44" customWidth="1" min="13" max="13"/>
  </cols>
  <sheetData>
    <row r="1">
      <c r="A1" s="19" t="inlineStr">
        <is>
          <t>All 61 live price observations (PriceCheck table, data/FareScout.db)</t>
        </is>
      </c>
    </row>
    <row r="3">
      <c r="A3" s="23" t="inlineStr">
        <is>
          <t>CheckId</t>
        </is>
      </c>
      <c r="B3" s="23" t="inlineStr">
        <is>
          <t>CheckedAt</t>
        </is>
      </c>
      <c r="C3" s="23" t="inlineStr">
        <is>
          <t>TripId</t>
        </is>
      </c>
      <c r="D3" s="23" t="inlineStr">
        <is>
          <t>Source</t>
        </is>
      </c>
      <c r="E3" s="23" t="inlineStr">
        <is>
          <t>Kind</t>
        </is>
      </c>
      <c r="F3" s="23" t="inlineStr">
        <is>
          <t>RouteOrResort</t>
        </is>
      </c>
      <c r="G3" s="23" t="inlineStr">
        <is>
          <t>DepartDate</t>
        </is>
      </c>
      <c r="H3" s="23" t="inlineStr">
        <is>
          <t>ReturnDate</t>
        </is>
      </c>
      <c r="I3" s="23" t="inlineStr">
        <is>
          <t>TotalPrice</t>
        </is>
      </c>
      <c r="J3" s="23" t="inlineStr">
        <is>
          <t>PerPerson</t>
        </is>
      </c>
      <c r="K3" s="23" t="inlineStr">
        <is>
          <t>Status</t>
        </is>
      </c>
      <c r="L3" s="23" t="inlineStr">
        <is>
          <t>PromoNotes</t>
        </is>
      </c>
      <c r="M3" s="23" t="inlineStr">
        <is>
          <t>RawNotes</t>
        </is>
      </c>
    </row>
    <row r="4">
      <c r="A4" s="24" t="n">
        <v>2</v>
      </c>
      <c r="B4" s="24" t="inlineStr">
        <is>
          <t>2026-07-17T18:55:00</t>
        </is>
      </c>
      <c r="C4" s="24" t="inlineStr">
        <is>
          <t>ARUBA-001</t>
        </is>
      </c>
      <c r="D4" s="24" t="inlineStr">
        <is>
          <t>GoogleFlights</t>
        </is>
      </c>
      <c r="E4" s="24" t="inlineStr">
        <is>
          <t>Flight</t>
        </is>
      </c>
      <c r="F4" s="24" t="inlineStr">
        <is>
          <t>DTW-AUA</t>
        </is>
      </c>
      <c r="G4" s="24" t="inlineStr">
        <is>
          <t>2026-08-08</t>
        </is>
      </c>
      <c r="H4" s="24" t="inlineStr">
        <is>
          <t>2026-08-15</t>
        </is>
      </c>
      <c r="I4" s="25" t="n">
        <v>1842</v>
      </c>
      <c r="J4" s="25" t="n">
        <v>921</v>
      </c>
      <c r="K4" s="24" t="inlineStr">
        <is>
          <t>RED</t>
        </is>
      </c>
      <c r="L4" s="24" t="n"/>
      <c r="M4" s="24" t="inlineStr">
        <is>
          <t>5:20AM-12:00PM 6h40m; Google insight: prices HIGH; tip Aug5-13 $1140</t>
        </is>
      </c>
    </row>
    <row r="5">
      <c r="A5" s="24" t="n">
        <v>3</v>
      </c>
      <c r="B5" s="24" t="inlineStr">
        <is>
          <t>2026-07-17T18:55:00</t>
        </is>
      </c>
      <c r="C5" s="24" t="inlineStr">
        <is>
          <t>ARUBA-001</t>
        </is>
      </c>
      <c r="D5" s="24" t="inlineStr">
        <is>
          <t>GoogleFlights</t>
        </is>
      </c>
      <c r="E5" s="24" t="inlineStr">
        <is>
          <t>Flight</t>
        </is>
      </c>
      <c r="F5" s="24" t="inlineStr">
        <is>
          <t>DTW-AUA</t>
        </is>
      </c>
      <c r="G5" s="24" t="inlineStr">
        <is>
          <t>2026-08-08</t>
        </is>
      </c>
      <c r="H5" s="24" t="inlineStr">
        <is>
          <t>2026-08-15</t>
        </is>
      </c>
      <c r="I5" s="25" t="n">
        <v>1862</v>
      </c>
      <c r="J5" s="25" t="n">
        <v>931</v>
      </c>
      <c r="K5" s="24" t="inlineStr">
        <is>
          <t>RED</t>
        </is>
      </c>
      <c r="L5" s="24" t="n"/>
      <c r="M5" s="24" t="inlineStr">
        <is>
          <t>7:15AM-1:59PM 6h44m</t>
        </is>
      </c>
    </row>
    <row r="6">
      <c r="A6" s="24" t="n">
        <v>4</v>
      </c>
      <c r="B6" s="24" t="inlineStr">
        <is>
          <t>2026-07-17T18:55:00</t>
        </is>
      </c>
      <c r="C6" s="24" t="inlineStr">
        <is>
          <t>ARUBA-001</t>
        </is>
      </c>
      <c r="D6" s="24" t="inlineStr">
        <is>
          <t>GoogleFlights</t>
        </is>
      </c>
      <c r="E6" s="24" t="inlineStr">
        <is>
          <t>Flight</t>
        </is>
      </c>
      <c r="F6" s="24" t="inlineStr">
        <is>
          <t>DTW-AUA</t>
        </is>
      </c>
      <c r="G6" s="24" t="inlineStr">
        <is>
          <t>2026-08-08</t>
        </is>
      </c>
      <c r="H6" s="24" t="inlineStr">
        <is>
          <t>2026-08-15</t>
        </is>
      </c>
      <c r="I6" s="25" t="n">
        <v>2042</v>
      </c>
      <c r="J6" s="25" t="n">
        <v>1021</v>
      </c>
      <c r="K6" s="24" t="inlineStr">
        <is>
          <t>RED</t>
        </is>
      </c>
      <c r="L6" s="24" t="n"/>
      <c r="M6" s="24" t="inlineStr">
        <is>
          <t>7:20AM-2:10PM 6h50m</t>
        </is>
      </c>
    </row>
    <row r="7">
      <c r="A7" s="24" t="n">
        <v>5</v>
      </c>
      <c r="B7" s="24" t="inlineStr">
        <is>
          <t>2026-07-17T18:55:00</t>
        </is>
      </c>
      <c r="C7" s="24" t="inlineStr">
        <is>
          <t>ARUBA-001</t>
        </is>
      </c>
      <c r="D7" s="24" t="inlineStr">
        <is>
          <t>GoogleFlights</t>
        </is>
      </c>
      <c r="E7" s="24" t="inlineStr">
        <is>
          <t>Flight</t>
        </is>
      </c>
      <c r="F7" s="24" t="inlineStr">
        <is>
          <t>DTW-AUA</t>
        </is>
      </c>
      <c r="G7" s="24" t="inlineStr">
        <is>
          <t>2026-08-08</t>
        </is>
      </c>
      <c r="H7" s="24" t="inlineStr">
        <is>
          <t>2026-08-15</t>
        </is>
      </c>
      <c r="I7" s="25" t="n">
        <v>2094</v>
      </c>
      <c r="J7" s="25" t="n">
        <v>1047</v>
      </c>
      <c r="K7" s="24" t="inlineStr">
        <is>
          <t>RED</t>
        </is>
      </c>
      <c r="L7" s="24" t="n"/>
      <c r="M7" s="24" t="inlineStr">
        <is>
          <t>7:30AM-4:40PM 9h10m long layover 2h24m</t>
        </is>
      </c>
    </row>
    <row r="8">
      <c r="A8" s="24" t="n">
        <v>6</v>
      </c>
      <c r="B8" s="24" t="inlineStr">
        <is>
          <t>2026-07-17T18:55:00</t>
        </is>
      </c>
      <c r="C8" s="24" t="inlineStr">
        <is>
          <t>ARUBA-001</t>
        </is>
      </c>
      <c r="D8" s="24" t="inlineStr">
        <is>
          <t>GoogleFlights</t>
        </is>
      </c>
      <c r="E8" s="24" t="inlineStr">
        <is>
          <t>Flight</t>
        </is>
      </c>
      <c r="F8" s="24" t="inlineStr">
        <is>
          <t>DTW-AUA</t>
        </is>
      </c>
      <c r="G8" s="24" t="inlineStr">
        <is>
          <t>2026-08-08</t>
        </is>
      </c>
      <c r="H8" s="24" t="inlineStr">
        <is>
          <t>2026-08-15</t>
        </is>
      </c>
      <c r="I8" s="25" t="n">
        <v>2730</v>
      </c>
      <c r="J8" s="25" t="n">
        <v>1365</v>
      </c>
      <c r="K8" s="24" t="inlineStr">
        <is>
          <t>RED</t>
        </is>
      </c>
      <c r="L8" s="24" t="n"/>
      <c r="M8" s="24" t="inlineStr">
        <is>
          <t>6:00AM-12:40PM 6h40m</t>
        </is>
      </c>
    </row>
    <row r="9">
      <c r="A9" s="24" t="n">
        <v>7</v>
      </c>
      <c r="B9" s="24" t="inlineStr">
        <is>
          <t>2026-07-17T18:55:00</t>
        </is>
      </c>
      <c r="C9" s="24" t="inlineStr">
        <is>
          <t>ARUBA-001</t>
        </is>
      </c>
      <c r="D9" s="24" t="inlineStr">
        <is>
          <t>GoogleFlights</t>
        </is>
      </c>
      <c r="E9" s="24" t="inlineStr">
        <is>
          <t>Flight</t>
        </is>
      </c>
      <c r="F9" s="24" t="inlineStr">
        <is>
          <t>DTW-AUA</t>
        </is>
      </c>
      <c r="G9" s="24" t="inlineStr">
        <is>
          <t>2026-08-08</t>
        </is>
      </c>
      <c r="H9" s="24" t="inlineStr">
        <is>
          <t>2026-08-16</t>
        </is>
      </c>
      <c r="I9" s="25" t="n">
        <v>1872</v>
      </c>
      <c r="J9" s="25" t="n">
        <v>936</v>
      </c>
      <c r="K9" s="24" t="inlineStr">
        <is>
          <t>RED</t>
        </is>
      </c>
      <c r="L9" s="24" t="n"/>
      <c r="M9" s="24" t="inlineStr">
        <is>
          <t>7:15AM-1:59PM 6h44m; Google insight: prices HIGH</t>
        </is>
      </c>
    </row>
    <row r="10">
      <c r="A10" s="24" t="n">
        <v>8</v>
      </c>
      <c r="B10" s="24" t="inlineStr">
        <is>
          <t>2026-07-17T18:55:00</t>
        </is>
      </c>
      <c r="C10" s="24" t="inlineStr">
        <is>
          <t>ARUBA-001</t>
        </is>
      </c>
      <c r="D10" s="24" t="inlineStr">
        <is>
          <t>GoogleFlights</t>
        </is>
      </c>
      <c r="E10" s="24" t="inlineStr">
        <is>
          <t>Flight</t>
        </is>
      </c>
      <c r="F10" s="24" t="inlineStr">
        <is>
          <t>DTW-AUA</t>
        </is>
      </c>
      <c r="G10" s="24" t="inlineStr">
        <is>
          <t>2026-08-08</t>
        </is>
      </c>
      <c r="H10" s="24" t="inlineStr">
        <is>
          <t>2026-08-16</t>
        </is>
      </c>
      <c r="I10" s="25" t="n">
        <v>2160</v>
      </c>
      <c r="J10" s="25" t="n">
        <v>1080</v>
      </c>
      <c r="K10" s="24" t="inlineStr">
        <is>
          <t>RED</t>
        </is>
      </c>
      <c r="L10" s="24" t="n"/>
      <c r="M10" s="24" t="inlineStr">
        <is>
          <t>5:20AM-12:00PM 6h40m</t>
        </is>
      </c>
    </row>
    <row r="11">
      <c r="A11" s="24" t="n">
        <v>9</v>
      </c>
      <c r="B11" s="24" t="inlineStr">
        <is>
          <t>2026-07-17T18:55:00</t>
        </is>
      </c>
      <c r="C11" s="24" t="inlineStr">
        <is>
          <t>ARUBA-001</t>
        </is>
      </c>
      <c r="D11" s="24" t="inlineStr">
        <is>
          <t>GoogleFlights</t>
        </is>
      </c>
      <c r="E11" s="24" t="inlineStr">
        <is>
          <t>Flight</t>
        </is>
      </c>
      <c r="F11" s="24" t="inlineStr">
        <is>
          <t>DTW-AUA</t>
        </is>
      </c>
      <c r="G11" s="24" t="inlineStr">
        <is>
          <t>2026-08-08</t>
        </is>
      </c>
      <c r="H11" s="24" t="inlineStr">
        <is>
          <t>2026-08-16</t>
        </is>
      </c>
      <c r="I11" s="25" t="n">
        <v>2211</v>
      </c>
      <c r="J11" s="25" t="n">
        <v>1105.5</v>
      </c>
      <c r="K11" s="24" t="inlineStr">
        <is>
          <t>RED</t>
        </is>
      </c>
      <c r="L11" s="24" t="n"/>
      <c r="M11" s="24" t="inlineStr">
        <is>
          <t>5:35PM-1:40PM+1 20h5m overnight</t>
        </is>
      </c>
    </row>
    <row r="12">
      <c r="A12" s="24" t="n">
        <v>10</v>
      </c>
      <c r="B12" s="24" t="inlineStr">
        <is>
          <t>2026-07-17T18:55:00</t>
        </is>
      </c>
      <c r="C12" s="24" t="inlineStr">
        <is>
          <t>ARUBA-001</t>
        </is>
      </c>
      <c r="D12" s="24" t="inlineStr">
        <is>
          <t>GoogleFlights</t>
        </is>
      </c>
      <c r="E12" s="24" t="inlineStr">
        <is>
          <t>Flight</t>
        </is>
      </c>
      <c r="F12" s="24" t="inlineStr">
        <is>
          <t>DTW-AUA</t>
        </is>
      </c>
      <c r="G12" s="24" t="inlineStr">
        <is>
          <t>2026-08-08</t>
        </is>
      </c>
      <c r="H12" s="24" t="inlineStr">
        <is>
          <t>2026-08-16</t>
        </is>
      </c>
      <c r="I12" s="25" t="n">
        <v>2262</v>
      </c>
      <c r="J12" s="25" t="n">
        <v>1131</v>
      </c>
      <c r="K12" s="24" t="inlineStr">
        <is>
          <t>RED</t>
        </is>
      </c>
      <c r="L12" s="24" t="n"/>
      <c r="M12" s="24" t="inlineStr">
        <is>
          <t>7:30AM-4:40PM 9h10m</t>
        </is>
      </c>
    </row>
    <row r="13">
      <c r="A13" s="24" t="n">
        <v>11</v>
      </c>
      <c r="B13" s="24" t="inlineStr">
        <is>
          <t>2026-07-17T18:55:00</t>
        </is>
      </c>
      <c r="C13" s="24" t="inlineStr">
        <is>
          <t>ARUBA-001</t>
        </is>
      </c>
      <c r="D13" s="24" t="inlineStr">
        <is>
          <t>GoogleFlights</t>
        </is>
      </c>
      <c r="E13" s="24" t="inlineStr">
        <is>
          <t>Flight</t>
        </is>
      </c>
      <c r="F13" s="24" t="inlineStr">
        <is>
          <t>DTW-AUA</t>
        </is>
      </c>
      <c r="G13" s="24" t="inlineStr">
        <is>
          <t>2026-08-08</t>
        </is>
      </c>
      <c r="H13" s="24" t="inlineStr">
        <is>
          <t>2026-08-16</t>
        </is>
      </c>
      <c r="I13" s="25" t="n">
        <v>2432</v>
      </c>
      <c r="J13" s="25" t="n">
        <v>1216</v>
      </c>
      <c r="K13" s="24" t="inlineStr">
        <is>
          <t>RED</t>
        </is>
      </c>
      <c r="L13" s="24" t="n"/>
      <c r="M13" s="24" t="inlineStr">
        <is>
          <t>6:00AM-1:30PM 7h30m</t>
        </is>
      </c>
    </row>
    <row r="14">
      <c r="A14" s="24" t="n">
        <v>12</v>
      </c>
      <c r="B14" s="24" t="inlineStr">
        <is>
          <t>2026-07-17T19:05:00</t>
        </is>
      </c>
      <c r="C14" s="24" t="inlineStr">
        <is>
          <t>ARUBA-001</t>
        </is>
      </c>
      <c r="D14" s="24" t="inlineStr">
        <is>
          <t>Riu</t>
        </is>
      </c>
      <c r="E14" s="24" t="inlineStr">
        <is>
          <t>Package</t>
        </is>
      </c>
      <c r="F14" s="24" t="inlineStr">
        <is>
          <t>Riu Palace Aruba</t>
        </is>
      </c>
      <c r="G14" s="24" t="inlineStr">
        <is>
          <t>2026-08-08</t>
        </is>
      </c>
      <c r="H14" s="24" t="inlineStr">
        <is>
          <t>2026-08-15</t>
        </is>
      </c>
      <c r="I14" s="25" t="n">
        <v>6034</v>
      </c>
      <c r="J14" s="25" t="n">
        <v>3017</v>
      </c>
      <c r="K14" s="24" t="inlineStr">
        <is>
          <t>RED</t>
        </is>
      </c>
      <c r="L14" s="24" t="inlineStr">
        <is>
          <t>100% off flights promo</t>
        </is>
      </c>
      <c r="M14" s="24" t="inlineStr">
        <is>
          <t>Promo '100% off flights'; was $4595/traveler now $3017/traveler; fully refundable; 8.2/10 (1762 reviews)</t>
        </is>
      </c>
    </row>
    <row r="15">
      <c r="A15" s="24" t="n">
        <v>13</v>
      </c>
      <c r="B15" s="24" t="inlineStr">
        <is>
          <t>2026-07-17T19:05:00</t>
        </is>
      </c>
      <c r="C15" s="24" t="inlineStr">
        <is>
          <t>ARUBA-001</t>
        </is>
      </c>
      <c r="D15" s="24" t="inlineStr">
        <is>
          <t>Riu</t>
        </is>
      </c>
      <c r="E15" s="24" t="inlineStr">
        <is>
          <t>Package</t>
        </is>
      </c>
      <c r="F15" s="24" t="inlineStr">
        <is>
          <t>Riu Palace Antillas (Adults Only)</t>
        </is>
      </c>
      <c r="G15" s="24" t="inlineStr">
        <is>
          <t>2026-08-08</t>
        </is>
      </c>
      <c r="H15" s="24" t="inlineStr">
        <is>
          <t>2026-08-15</t>
        </is>
      </c>
      <c r="I15" s="25" t="n">
        <v>7213</v>
      </c>
      <c r="J15" s="25" t="n">
        <v>3607</v>
      </c>
      <c r="K15" s="24" t="inlineStr">
        <is>
          <t>RED</t>
        </is>
      </c>
      <c r="L15" s="24" t="inlineStr">
        <is>
          <t>100% off flights promo</t>
        </is>
      </c>
      <c r="M15" s="24" t="inlineStr">
        <is>
          <t>Promo '100% off flights'; was $5849/traveler now $3607/traveler; fully refundable; 8.6/10 (1656 reviews)</t>
        </is>
      </c>
    </row>
    <row r="16">
      <c r="A16" s="24" t="n">
        <v>14</v>
      </c>
      <c r="B16" s="24" t="inlineStr">
        <is>
          <t>2026-07-17T19:15:00</t>
        </is>
      </c>
      <c r="C16" s="24" t="inlineStr">
        <is>
          <t>ARUBA-001</t>
        </is>
      </c>
      <c r="D16" s="24" t="inlineStr">
        <is>
          <t>CheapCaribbean</t>
        </is>
      </c>
      <c r="E16" s="24" t="inlineStr">
        <is>
          <t>Package</t>
        </is>
      </c>
      <c r="F16" s="24" t="inlineStr">
        <is>
          <t>Riu Palace Antillas (Adults Only)</t>
        </is>
      </c>
      <c r="G16" s="24" t="inlineStr">
        <is>
          <t>2026-08-08</t>
        </is>
      </c>
      <c r="H16" s="24" t="inlineStr">
        <is>
          <t>2026-08-15</t>
        </is>
      </c>
      <c r="I16" s="25" t="n">
        <v>6924</v>
      </c>
      <c r="J16" s="25" t="n">
        <v>3462</v>
      </c>
      <c r="K16" s="24" t="inlineStr">
        <is>
          <t>RED</t>
        </is>
      </c>
      <c r="L16" s="24" t="inlineStr">
        <is>
          <t>$200 Jet Set July discount applied; price incl hotel+flights+taxes</t>
        </is>
      </c>
      <c r="M16" s="24" t="inlineStr">
        <is>
          <t>Elite Club by RIU badge; 4-star; Palm Beach 5.1mi from AUA</t>
        </is>
      </c>
    </row>
    <row r="17">
      <c r="A17" s="24" t="n">
        <v>15</v>
      </c>
      <c r="B17" s="24" t="inlineStr">
        <is>
          <t>2026-07-17T19:15:00</t>
        </is>
      </c>
      <c r="C17" s="24" t="inlineStr">
        <is>
          <t>ARUBA-001</t>
        </is>
      </c>
      <c r="D17" s="24" t="inlineStr">
        <is>
          <t>CheapCaribbean</t>
        </is>
      </c>
      <c r="E17" s="24" t="inlineStr">
        <is>
          <t>Package</t>
        </is>
      </c>
      <c r="F17" s="24" t="inlineStr">
        <is>
          <t>Riu Palace Aruba</t>
        </is>
      </c>
      <c r="G17" s="24" t="inlineStr">
        <is>
          <t>2026-08-08</t>
        </is>
      </c>
      <c r="H17" s="24" t="inlineStr">
        <is>
          <t>2026-08-15</t>
        </is>
      </c>
      <c r="I17" s="25" t="n">
        <v>5972</v>
      </c>
      <c r="J17" s="25" t="n">
        <v>2986</v>
      </c>
      <c r="K17" s="24" t="inlineStr">
        <is>
          <t>RED</t>
        </is>
      </c>
      <c r="L17" s="24" t="inlineStr">
        <is>
          <t>$200 Jet Set July discount applied; price incl hotel+flights+taxes</t>
        </is>
      </c>
      <c r="M17" s="24" t="inlineStr">
        <is>
          <t>4-star; 9500 reviews; 5.1mi from AUA</t>
        </is>
      </c>
    </row>
    <row r="18">
      <c r="A18" s="24" t="n">
        <v>16</v>
      </c>
      <c r="B18" s="24" t="inlineStr">
        <is>
          <t>2026-07-17T19:15:00</t>
        </is>
      </c>
      <c r="C18" s="24" t="inlineStr">
        <is>
          <t>ARUBA-001</t>
        </is>
      </c>
      <c r="D18" s="24" t="inlineStr">
        <is>
          <t>CheapCaribbean</t>
        </is>
      </c>
      <c r="E18" s="24" t="inlineStr">
        <is>
          <t>Package</t>
        </is>
      </c>
      <c r="F18" s="24" t="inlineStr">
        <is>
          <t>Barcelo Aruba</t>
        </is>
      </c>
      <c r="G18" s="24" t="inlineStr">
        <is>
          <t>2026-08-08</t>
        </is>
      </c>
      <c r="H18" s="24" t="inlineStr">
        <is>
          <t>2026-08-15</t>
        </is>
      </c>
      <c r="I18" s="25" t="n">
        <v>6968</v>
      </c>
      <c r="J18" s="25" t="n">
        <v>3484</v>
      </c>
      <c r="K18" s="24" t="inlineStr">
        <is>
          <t>RED</t>
        </is>
      </c>
      <c r="L18" s="24" t="inlineStr">
        <is>
          <t>$200 Jet Set July discount applied; price incl hotel+flights+taxes</t>
        </is>
      </c>
      <c r="M18" s="24" t="inlineStr">
        <is>
          <t>4-star; 12983 reviews; Beach 5.3mi from AUA</t>
        </is>
      </c>
    </row>
    <row r="19">
      <c r="A19" s="24" t="n">
        <v>17</v>
      </c>
      <c r="B19" s="24" t="inlineStr">
        <is>
          <t>2026-07-17T19:25:00</t>
        </is>
      </c>
      <c r="C19" s="24" t="inlineStr">
        <is>
          <t>ARUBA-001</t>
        </is>
      </c>
      <c r="D19" s="24" t="inlineStr">
        <is>
          <t>Expedia</t>
        </is>
      </c>
      <c r="E19" s="24" t="inlineStr">
        <is>
          <t>Hotel</t>
        </is>
      </c>
      <c r="F19" s="24" t="inlineStr">
        <is>
          <t>Riu Palace Antillas (Adults Only)</t>
        </is>
      </c>
      <c r="G19" s="24" t="inlineStr">
        <is>
          <t>2026-08-08</t>
        </is>
      </c>
      <c r="H19" s="24" t="inlineStr">
        <is>
          <t>2026-08-15</t>
        </is>
      </c>
      <c r="I19" s="25" t="n">
        <v>6537</v>
      </c>
      <c r="J19" s="25" t="n">
        <v>3268.5</v>
      </c>
      <c r="K19" s="24" t="inlineStr">
        <is>
          <t>RED</t>
        </is>
      </c>
      <c r="L19" s="24" t="inlineStr">
        <is>
          <t>$827/night; total w/ taxes+fees</t>
        </is>
      </c>
      <c r="M19" s="24" t="inlineStr">
        <is>
          <t>was $11866; 4 left at this price; fully refundable</t>
        </is>
      </c>
    </row>
    <row r="20">
      <c r="A20" s="24" t="n">
        <v>18</v>
      </c>
      <c r="B20" s="24" t="inlineStr">
        <is>
          <t>2026-07-17T19:25:00</t>
        </is>
      </c>
      <c r="C20" s="24" t="inlineStr">
        <is>
          <t>ARUBA-001</t>
        </is>
      </c>
      <c r="D20" s="24" t="inlineStr">
        <is>
          <t>Expedia</t>
        </is>
      </c>
      <c r="E20" s="24" t="inlineStr">
        <is>
          <t>Hotel</t>
        </is>
      </c>
      <c r="F20" s="24" t="inlineStr">
        <is>
          <t>Riu Palace Aruba</t>
        </is>
      </c>
      <c r="G20" s="24" t="inlineStr">
        <is>
          <t>2026-08-08</t>
        </is>
      </c>
      <c r="H20" s="24" t="inlineStr">
        <is>
          <t>2026-08-15</t>
        </is>
      </c>
      <c r="I20" s="25" t="n">
        <v>5560</v>
      </c>
      <c r="J20" s="25" t="n">
        <v>2780</v>
      </c>
      <c r="K20" s="24" t="inlineStr">
        <is>
          <t>RED</t>
        </is>
      </c>
      <c r="L20" s="24" t="inlineStr">
        <is>
          <t>$703/night; total w/ taxes+fees</t>
        </is>
      </c>
      <c r="M20" s="24" t="inlineStr">
        <is>
          <t>was $9250; fully refundable</t>
        </is>
      </c>
    </row>
    <row r="21">
      <c r="A21" s="24" t="n">
        <v>19</v>
      </c>
      <c r="B21" s="24" t="inlineStr">
        <is>
          <t>2026-07-17T19:25:00</t>
        </is>
      </c>
      <c r="C21" s="24" t="inlineStr">
        <is>
          <t>ARUBA-001</t>
        </is>
      </c>
      <c r="D21" s="24" t="inlineStr">
        <is>
          <t>Expedia</t>
        </is>
      </c>
      <c r="E21" s="24" t="inlineStr">
        <is>
          <t>Hotel</t>
        </is>
      </c>
      <c r="F21" s="24" t="inlineStr">
        <is>
          <t>Barcelo Aruba</t>
        </is>
      </c>
      <c r="G21" s="24" t="inlineStr">
        <is>
          <t>2026-08-08</t>
        </is>
      </c>
      <c r="H21" s="24" t="inlineStr">
        <is>
          <t>2026-08-15</t>
        </is>
      </c>
      <c r="I21" s="25" t="n">
        <v>5999</v>
      </c>
      <c r="J21" s="25" t="n">
        <v>2999.5</v>
      </c>
      <c r="K21" s="24" t="inlineStr">
        <is>
          <t>RED</t>
        </is>
      </c>
      <c r="L21" s="24" t="inlineStr">
        <is>
          <t>$728/night; total w/ taxes+fees</t>
        </is>
      </c>
      <c r="M21" s="24" t="inlineStr">
        <is>
          <t>was $9216 ($3217 off); 1 left at this price</t>
        </is>
      </c>
    </row>
    <row r="22">
      <c r="A22" s="24" t="n">
        <v>20</v>
      </c>
      <c r="B22" s="24" t="inlineStr">
        <is>
          <t>2026-07-17T19:35:00</t>
        </is>
      </c>
      <c r="C22" s="24" t="inlineStr">
        <is>
          <t>ARUBA-001</t>
        </is>
      </c>
      <c r="D22" s="24" t="inlineStr">
        <is>
          <t>Kayak</t>
        </is>
      </c>
      <c r="E22" s="24" t="inlineStr">
        <is>
          <t>Hotel</t>
        </is>
      </c>
      <c r="F22" s="24" t="inlineStr">
        <is>
          <t>Riu Palace Aruba</t>
        </is>
      </c>
      <c r="G22" s="24" t="inlineStr">
        <is>
          <t>2026-08-08</t>
        </is>
      </c>
      <c r="H22" s="24" t="inlineStr">
        <is>
          <t>2026-08-15</t>
        </is>
      </c>
      <c r="I22" s="25" t="n">
        <v>4921</v>
      </c>
      <c r="J22" s="25" t="n">
        <v>2460.5</v>
      </c>
      <c r="K22" s="24" t="inlineStr">
        <is>
          <t>RED</t>
        </is>
      </c>
      <c r="L22" s="24" t="inlineStr">
        <is>
          <t>$703/night cross-check</t>
        </is>
      </c>
      <c r="M22" s="24" t="inlineStr">
        <is>
          <t>Nightly $703 AI (Expedia/Hotels.com), book-direct $702, low option Pricetravel $620; nightly incl fees BEFORE taxes; 7nt approx $4921</t>
        </is>
      </c>
    </row>
    <row r="23">
      <c r="A23" s="24" t="n">
        <v>21</v>
      </c>
      <c r="B23" s="24" t="inlineStr">
        <is>
          <t>2026-07-17T19:35:00</t>
        </is>
      </c>
      <c r="C23" s="24" t="inlineStr">
        <is>
          <t>ARUBA-001</t>
        </is>
      </c>
      <c r="D23" s="24" t="inlineStr">
        <is>
          <t>Kayak</t>
        </is>
      </c>
      <c r="E23" s="24" t="inlineStr">
        <is>
          <t>Hotel</t>
        </is>
      </c>
      <c r="F23" s="24" t="inlineStr">
        <is>
          <t>Riu Palace Antillas (Adults Only)</t>
        </is>
      </c>
      <c r="G23" s="24" t="inlineStr">
        <is>
          <t>2026-08-08</t>
        </is>
      </c>
      <c r="H23" s="24" t="inlineStr">
        <is>
          <t>2026-08-15</t>
        </is>
      </c>
      <c r="I23" s="25" t="n">
        <v>5782</v>
      </c>
      <c r="J23" s="25" t="n">
        <v>2891</v>
      </c>
      <c r="K23" s="24" t="inlineStr">
        <is>
          <t>RED</t>
        </is>
      </c>
      <c r="L23" s="24" t="inlineStr">
        <is>
          <t>$826/night cross-check</t>
        </is>
      </c>
      <c r="M23" s="24" t="inlineStr">
        <is>
          <t>Nightly $826 (Agoda), Expedia $928 AI, Super.com $693 AI; before taxes; 7nt approx $5782</t>
        </is>
      </c>
    </row>
    <row r="24">
      <c r="A24" s="24" t="n">
        <v>22</v>
      </c>
      <c r="B24" s="24" t="inlineStr">
        <is>
          <t>2026-07-17T19:35:00</t>
        </is>
      </c>
      <c r="C24" s="24" t="inlineStr">
        <is>
          <t>ARUBA-001</t>
        </is>
      </c>
      <c r="D24" s="24" t="inlineStr">
        <is>
          <t>Kayak</t>
        </is>
      </c>
      <c r="E24" s="24" t="inlineStr">
        <is>
          <t>Hotel</t>
        </is>
      </c>
      <c r="F24" s="24" t="inlineStr">
        <is>
          <t>Barcelo Aruba</t>
        </is>
      </c>
      <c r="G24" s="24" t="inlineStr">
        <is>
          <t>2026-08-08</t>
        </is>
      </c>
      <c r="H24" s="24" t="inlineStr">
        <is>
          <t>2026-08-15</t>
        </is>
      </c>
      <c r="I24" s="25" t="n">
        <v>4340</v>
      </c>
      <c r="J24" s="25" t="n">
        <v>2170</v>
      </c>
      <c r="K24" s="24" t="inlineStr">
        <is>
          <t>RED</t>
        </is>
      </c>
      <c r="L24" s="24" t="inlineStr">
        <is>
          <t>$620/night cross-check</t>
        </is>
      </c>
      <c r="M24" s="24" t="inlineStr">
        <is>
          <t>Book DIRECT Barcelo.com $620 nightly cheapest; Expedia $763 AI; Agoda $773 w/breakfast; before taxes; 7nt approx $4340</t>
        </is>
      </c>
    </row>
    <row r="25">
      <c r="A25" s="24" t="n">
        <v>23</v>
      </c>
      <c r="B25" s="24" t="inlineStr">
        <is>
          <t>2026-07-17T20:00:00</t>
        </is>
      </c>
      <c r="C25" s="24" t="inlineStr">
        <is>
          <t>SCOUT-CUN</t>
        </is>
      </c>
      <c r="D25" s="24" t="inlineStr">
        <is>
          <t>CheapCaribbean</t>
        </is>
      </c>
      <c r="E25" s="24" t="inlineStr">
        <is>
          <t>Package</t>
        </is>
      </c>
      <c r="F25" s="24" t="inlineStr">
        <is>
          <t>Riu Tequila - AI</t>
        </is>
      </c>
      <c r="G25" s="24" t="inlineStr">
        <is>
          <t>2026-08-08</t>
        </is>
      </c>
      <c r="H25" s="24" t="inlineStr">
        <is>
          <t>2026-08-15</t>
        </is>
      </c>
      <c r="I25" s="25" t="n">
        <v>1970</v>
      </c>
      <c r="J25" s="25" t="n">
        <v>985</v>
      </c>
      <c r="K25" s="24" t="n"/>
      <c r="L25" s="24" t="inlineStr">
        <is>
          <t>$200 Jet Set July discount applied; hotel+flights+taxes from DTW</t>
        </is>
      </c>
      <c r="M25" s="24" t="inlineStr">
        <is>
          <t>4-star; 12758 reviews; Playa del Carmen OFF-beach (shuttle to beach); cheapest found</t>
        </is>
      </c>
    </row>
    <row r="26">
      <c r="A26" s="24" t="n">
        <v>24</v>
      </c>
      <c r="B26" s="24" t="inlineStr">
        <is>
          <t>2026-07-17T20:00:00</t>
        </is>
      </c>
      <c r="C26" s="24" t="inlineStr">
        <is>
          <t>SCOUT-CUN</t>
        </is>
      </c>
      <c r="D26" s="24" t="inlineStr">
        <is>
          <t>CheapCaribbean</t>
        </is>
      </c>
      <c r="E26" s="24" t="inlineStr">
        <is>
          <t>Package</t>
        </is>
      </c>
      <c r="F26" s="24" t="inlineStr">
        <is>
          <t>Riu Yucatan - AI</t>
        </is>
      </c>
      <c r="G26" s="24" t="inlineStr">
        <is>
          <t>2026-08-08</t>
        </is>
      </c>
      <c r="H26" s="24" t="inlineStr">
        <is>
          <t>2026-08-15</t>
        </is>
      </c>
      <c r="I26" s="25" t="n">
        <v>2134</v>
      </c>
      <c r="J26" s="25" t="n">
        <v>1067</v>
      </c>
      <c r="K26" s="24" t="n"/>
      <c r="L26" s="24" t="inlineStr">
        <is>
          <t>$200 Jet Set July discount applied; hotel+flights+taxes from DTW</t>
        </is>
      </c>
      <c r="M26" s="24" t="inlineStr">
        <is>
          <t>4-star; 9389 reviews; Playa del Carmen beachfront</t>
        </is>
      </c>
    </row>
    <row r="27">
      <c r="A27" s="24" t="n">
        <v>25</v>
      </c>
      <c r="B27" s="24" t="inlineStr">
        <is>
          <t>2026-07-17T20:00:00</t>
        </is>
      </c>
      <c r="C27" s="24" t="inlineStr">
        <is>
          <t>SCOUT-CUN</t>
        </is>
      </c>
      <c r="D27" s="24" t="inlineStr">
        <is>
          <t>CheapCaribbean</t>
        </is>
      </c>
      <c r="E27" s="24" t="inlineStr">
        <is>
          <t>Package</t>
        </is>
      </c>
      <c r="F27" s="24" t="inlineStr">
        <is>
          <t>Catalonia Riviera Maya - AI</t>
        </is>
      </c>
      <c r="G27" s="24" t="inlineStr">
        <is>
          <t>2026-08-08</t>
        </is>
      </c>
      <c r="H27" s="24" t="inlineStr">
        <is>
          <t>2026-08-15</t>
        </is>
      </c>
      <c r="I27" s="25" t="n">
        <v>2144</v>
      </c>
      <c r="J27" s="25" t="n">
        <v>1072</v>
      </c>
      <c r="K27" s="24" t="n"/>
      <c r="L27" s="24" t="inlineStr">
        <is>
          <t>$200 Jet Set July discount applied; hotel+flights+taxes from DTW</t>
        </is>
      </c>
      <c r="M27" s="24" t="inlineStr">
        <is>
          <t>5-star; 3183 reviews; Riviera Maya beach; 43mi from CUN</t>
        </is>
      </c>
    </row>
    <row r="28">
      <c r="A28" s="24" t="n">
        <v>26</v>
      </c>
      <c r="B28" s="24" t="inlineStr">
        <is>
          <t>2026-07-17T20:00:00</t>
        </is>
      </c>
      <c r="C28" s="24" t="inlineStr">
        <is>
          <t>SCOUT-CUN</t>
        </is>
      </c>
      <c r="D28" s="24" t="inlineStr">
        <is>
          <t>CheapCaribbean</t>
        </is>
      </c>
      <c r="E28" s="24" t="inlineStr">
        <is>
          <t>Package</t>
        </is>
      </c>
      <c r="F28" s="24" t="inlineStr">
        <is>
          <t>Hotel Marina El Cid Spa &amp; Beach - AI</t>
        </is>
      </c>
      <c r="G28" s="24" t="inlineStr">
        <is>
          <t>2026-08-08</t>
        </is>
      </c>
      <c r="H28" s="24" t="inlineStr">
        <is>
          <t>2026-08-15</t>
        </is>
      </c>
      <c r="I28" s="25" t="n">
        <v>2310</v>
      </c>
      <c r="J28" s="25" t="n">
        <v>1155</v>
      </c>
      <c r="K28" s="24" t="n"/>
      <c r="L28" s="24" t="inlineStr">
        <is>
          <t>$200 Jet Set July discount applied; hotel+flights+taxes from DTW</t>
        </is>
      </c>
      <c r="M28" s="24" t="inlineStr">
        <is>
          <t>4.5-star; 10786 reviews; Puerto Morelos beachfront</t>
        </is>
      </c>
    </row>
    <row r="29">
      <c r="A29" s="24" t="n">
        <v>27</v>
      </c>
      <c r="B29" s="24" t="inlineStr">
        <is>
          <t>2026-07-17T20:00:00</t>
        </is>
      </c>
      <c r="C29" s="24" t="inlineStr">
        <is>
          <t>SCOUT-CUN</t>
        </is>
      </c>
      <c r="D29" s="24" t="inlineStr">
        <is>
          <t>CheapCaribbean</t>
        </is>
      </c>
      <c r="E29" s="24" t="inlineStr">
        <is>
          <t>Package</t>
        </is>
      </c>
      <c r="F29" s="24" t="inlineStr">
        <is>
          <t>Riu Dunamar - AI</t>
        </is>
      </c>
      <c r="G29" s="24" t="inlineStr">
        <is>
          <t>2026-08-08</t>
        </is>
      </c>
      <c r="H29" s="24" t="inlineStr">
        <is>
          <t>2026-08-15</t>
        </is>
      </c>
      <c r="I29" s="25" t="n">
        <v>2386</v>
      </c>
      <c r="J29" s="25" t="n">
        <v>1193</v>
      </c>
      <c r="K29" s="24" t="n"/>
      <c r="L29" s="24" t="inlineStr">
        <is>
          <t>$200 Jet Set July discount applied; hotel+flights+taxes from DTW</t>
        </is>
      </c>
      <c r="M29" s="24" t="inlineStr">
        <is>
          <t>4-star; 5186 reviews; Costa Mujeres beach</t>
        </is>
      </c>
    </row>
    <row r="30">
      <c r="A30" s="24" t="n">
        <v>28</v>
      </c>
      <c r="B30" s="24" t="inlineStr">
        <is>
          <t>2026-07-17T20:00:00</t>
        </is>
      </c>
      <c r="C30" s="24" t="inlineStr">
        <is>
          <t>SCOUT-CUN</t>
        </is>
      </c>
      <c r="D30" s="24" t="inlineStr">
        <is>
          <t>CheapCaribbean</t>
        </is>
      </c>
      <c r="E30" s="24" t="inlineStr">
        <is>
          <t>Package</t>
        </is>
      </c>
      <c r="F30" s="24" t="inlineStr">
        <is>
          <t>Riu Latino - AI - Adults Only</t>
        </is>
      </c>
      <c r="G30" s="24" t="inlineStr">
        <is>
          <t>2026-08-08</t>
        </is>
      </c>
      <c r="H30" s="24" t="inlineStr">
        <is>
          <t>2026-08-15</t>
        </is>
      </c>
      <c r="I30" s="25" t="n">
        <v>2412</v>
      </c>
      <c r="J30" s="25" t="n">
        <v>1206</v>
      </c>
      <c r="K30" s="24" t="n"/>
      <c r="L30" s="24" t="inlineStr">
        <is>
          <t>$200 Jet Set July discount applied; hotel+flights+taxes from DTW</t>
        </is>
      </c>
      <c r="M30" s="24" t="inlineStr">
        <is>
          <t>4.5-star; 2900 reviews; Costa Mujeres; adults-only</t>
        </is>
      </c>
    </row>
    <row r="31">
      <c r="A31" s="24" t="n">
        <v>29</v>
      </c>
      <c r="B31" s="24" t="inlineStr">
        <is>
          <t>2026-07-17T20:00:00</t>
        </is>
      </c>
      <c r="C31" s="24" t="inlineStr">
        <is>
          <t>SCOUT-CUN</t>
        </is>
      </c>
      <c r="D31" s="24" t="inlineStr">
        <is>
          <t>CheapCaribbean</t>
        </is>
      </c>
      <c r="E31" s="24" t="inlineStr">
        <is>
          <t>Package</t>
        </is>
      </c>
      <c r="F31" s="24" t="inlineStr">
        <is>
          <t>Riu Palace Costa Mujeres - AI</t>
        </is>
      </c>
      <c r="G31" s="24" t="inlineStr">
        <is>
          <t>2026-08-08</t>
        </is>
      </c>
      <c r="H31" s="24" t="inlineStr">
        <is>
          <t>2026-08-15</t>
        </is>
      </c>
      <c r="I31" s="25" t="n">
        <v>2632</v>
      </c>
      <c r="J31" s="25" t="n">
        <v>1316</v>
      </c>
      <c r="K31" s="24" t="n"/>
      <c r="L31" s="24" t="inlineStr">
        <is>
          <t>$200 Jet Set July discount applied; hotel+flights+taxes from DTW</t>
        </is>
      </c>
      <c r="M31" s="24" t="inlineStr">
        <is>
          <t xml:space="preserve">5-star; 4946 reviews; </t>
        </is>
      </c>
    </row>
    <row r="32">
      <c r="A32" s="24" t="n">
        <v>30</v>
      </c>
      <c r="B32" s="24" t="inlineStr">
        <is>
          <t>2026-07-17T20:00:00</t>
        </is>
      </c>
      <c r="C32" s="24" t="inlineStr">
        <is>
          <t>SCOUT-CUN</t>
        </is>
      </c>
      <c r="D32" s="24" t="inlineStr">
        <is>
          <t>CheapCaribbean</t>
        </is>
      </c>
      <c r="E32" s="24" t="inlineStr">
        <is>
          <t>Package</t>
        </is>
      </c>
      <c r="F32" s="24" t="inlineStr">
        <is>
          <t>Riu Cancun - AI - Adults Only</t>
        </is>
      </c>
      <c r="G32" s="24" t="inlineStr">
        <is>
          <t>2026-08-08</t>
        </is>
      </c>
      <c r="H32" s="24" t="inlineStr">
        <is>
          <t>2026-08-15</t>
        </is>
      </c>
      <c r="I32" s="25" t="n">
        <v>2696</v>
      </c>
      <c r="J32" s="25" t="n">
        <v>1348</v>
      </c>
      <c r="K32" s="24" t="n"/>
      <c r="L32" s="24" t="inlineStr">
        <is>
          <t>$200 Jet Set July discount applied; hotel+flights+taxes from DTW</t>
        </is>
      </c>
      <c r="M32" s="24" t="inlineStr">
        <is>
          <t>4-star; 14781 reviews; Hotel Zone beach</t>
        </is>
      </c>
    </row>
    <row r="33">
      <c r="A33" s="24" t="n">
        <v>31</v>
      </c>
      <c r="B33" s="24" t="inlineStr">
        <is>
          <t>2026-07-17T20:00:00</t>
        </is>
      </c>
      <c r="C33" s="24" t="inlineStr">
        <is>
          <t>SCOUT-CUN</t>
        </is>
      </c>
      <c r="D33" s="24" t="inlineStr">
        <is>
          <t>CheapCaribbean</t>
        </is>
      </c>
      <c r="E33" s="24" t="inlineStr">
        <is>
          <t>Package</t>
        </is>
      </c>
      <c r="F33" s="24" t="inlineStr">
        <is>
          <t>Riu Palace Riviera Maya - AI</t>
        </is>
      </c>
      <c r="G33" s="24" t="inlineStr">
        <is>
          <t>2026-08-08</t>
        </is>
      </c>
      <c r="H33" s="24" t="inlineStr">
        <is>
          <t>2026-08-15</t>
        </is>
      </c>
      <c r="I33" s="25" t="n">
        <v>2676</v>
      </c>
      <c r="J33" s="25" t="n">
        <v>1338</v>
      </c>
      <c r="K33" s="24" t="n"/>
      <c r="L33" s="24" t="inlineStr">
        <is>
          <t>$200 Jet Set July discount applied; hotel+flights+taxes from DTW</t>
        </is>
      </c>
      <c r="M33" s="24" t="inlineStr">
        <is>
          <t>5-star; 8712 reviews; Playa del Carmen beach</t>
        </is>
      </c>
    </row>
    <row r="34">
      <c r="A34" s="24" t="n">
        <v>32</v>
      </c>
      <c r="B34" s="24" t="inlineStr">
        <is>
          <t>2026-07-17T20:00:00</t>
        </is>
      </c>
      <c r="C34" s="24" t="inlineStr">
        <is>
          <t>SCOUT-CUN</t>
        </is>
      </c>
      <c r="D34" s="24" t="inlineStr">
        <is>
          <t>CheapCaribbean</t>
        </is>
      </c>
      <c r="E34" s="24" t="inlineStr">
        <is>
          <t>Package</t>
        </is>
      </c>
      <c r="F34" s="24" t="inlineStr">
        <is>
          <t>Secrets The Vine - AI - Adults Only</t>
        </is>
      </c>
      <c r="G34" s="24" t="inlineStr">
        <is>
          <t>2026-08-08</t>
        </is>
      </c>
      <c r="H34" s="24" t="inlineStr">
        <is>
          <t>2026-08-15</t>
        </is>
      </c>
      <c r="I34" s="25" t="n">
        <v>2924</v>
      </c>
      <c r="J34" s="25" t="n">
        <v>1462</v>
      </c>
      <c r="K34" s="24" t="n"/>
      <c r="L34" s="24" t="inlineStr">
        <is>
          <t>$200 Jet Set July discount applied; hotel+flights+taxes from DTW</t>
        </is>
      </c>
      <c r="M34" s="24" t="inlineStr">
        <is>
          <t>5-star; 19475 reviews; Hotel Zone; adults-only luxury</t>
        </is>
      </c>
    </row>
    <row r="35">
      <c r="A35" s="24" t="n">
        <v>33</v>
      </c>
      <c r="B35" s="24" t="inlineStr">
        <is>
          <t>2026-07-17T20:00:00</t>
        </is>
      </c>
      <c r="C35" s="24" t="inlineStr">
        <is>
          <t>SCOUT-CUN</t>
        </is>
      </c>
      <c r="D35" s="24" t="inlineStr">
        <is>
          <t>CheapCaribbean</t>
        </is>
      </c>
      <c r="E35" s="24" t="inlineStr">
        <is>
          <t>Package</t>
        </is>
      </c>
      <c r="F35" s="24" t="inlineStr">
        <is>
          <t>Riu Palace Kukulkan - AI - Adults Only</t>
        </is>
      </c>
      <c r="G35" s="24" t="inlineStr">
        <is>
          <t>2026-08-08</t>
        </is>
      </c>
      <c r="H35" s="24" t="inlineStr">
        <is>
          <t>2026-08-15</t>
        </is>
      </c>
      <c r="I35" s="25" t="n">
        <v>3050</v>
      </c>
      <c r="J35" s="25" t="n">
        <v>1525</v>
      </c>
      <c r="K35" s="24" t="n"/>
      <c r="L35" s="24" t="inlineStr">
        <is>
          <t>$200 Jet Set July discount applied; hotel+flights+taxes from DTW</t>
        </is>
      </c>
      <c r="M35" s="24" t="inlineStr">
        <is>
          <t>5-star; 1700 reviews; Hotel Zone beach</t>
        </is>
      </c>
    </row>
    <row r="36">
      <c r="A36" s="24" t="n">
        <v>34</v>
      </c>
      <c r="B36" s="24" t="inlineStr">
        <is>
          <t>2026-07-17T20:00:00</t>
        </is>
      </c>
      <c r="C36" s="24" t="inlineStr">
        <is>
          <t>SCOUT-PUJ</t>
        </is>
      </c>
      <c r="D36" s="24" t="inlineStr">
        <is>
          <t>CheapCaribbean</t>
        </is>
      </c>
      <c r="E36" s="24" t="inlineStr">
        <is>
          <t>Package</t>
        </is>
      </c>
      <c r="F36" s="24" t="inlineStr">
        <is>
          <t>VIK Arena Blanca - AI</t>
        </is>
      </c>
      <c r="G36" s="24" t="inlineStr">
        <is>
          <t>2026-08-08</t>
        </is>
      </c>
      <c r="H36" s="24" t="inlineStr">
        <is>
          <t>2026-08-15</t>
        </is>
      </c>
      <c r="I36" s="25" t="n">
        <v>1804</v>
      </c>
      <c r="J36" s="25" t="n">
        <v>902</v>
      </c>
      <c r="K36" s="24" t="n"/>
      <c r="L36" s="24" t="inlineStr">
        <is>
          <t>$200 Jet Set July discount applied; hotel+flights+taxes from DTW</t>
        </is>
      </c>
      <c r="M36" s="24" t="inlineStr">
        <is>
          <t>3-star; 4377 reviews; Punta Cana beach; budget 3-star</t>
        </is>
      </c>
    </row>
    <row r="37">
      <c r="A37" s="24" t="n">
        <v>35</v>
      </c>
      <c r="B37" s="24" t="inlineStr">
        <is>
          <t>2026-07-17T20:00:00</t>
        </is>
      </c>
      <c r="C37" s="24" t="inlineStr">
        <is>
          <t>SCOUT-PUJ</t>
        </is>
      </c>
      <c r="D37" s="24" t="inlineStr">
        <is>
          <t>CheapCaribbean</t>
        </is>
      </c>
      <c r="E37" s="24" t="inlineStr">
        <is>
          <t>Package</t>
        </is>
      </c>
      <c r="F37" s="24" t="inlineStr">
        <is>
          <t>Riu Bambu - AI</t>
        </is>
      </c>
      <c r="G37" s="24" t="inlineStr">
        <is>
          <t>2026-08-08</t>
        </is>
      </c>
      <c r="H37" s="24" t="inlineStr">
        <is>
          <t>2026-08-15</t>
        </is>
      </c>
      <c r="I37" s="25" t="n">
        <v>2174</v>
      </c>
      <c r="J37" s="25" t="n">
        <v>1087</v>
      </c>
      <c r="K37" s="24" t="n"/>
      <c r="L37" s="24" t="inlineStr">
        <is>
          <t>$200 Jet Set July discount applied; hotel+flights+taxes from DTW</t>
        </is>
      </c>
      <c r="M37" s="24" t="inlineStr">
        <is>
          <t>4-star; 5580 reviews; Punta Cana beach; family</t>
        </is>
      </c>
    </row>
    <row r="38">
      <c r="A38" s="24" t="n">
        <v>36</v>
      </c>
      <c r="B38" s="24" t="inlineStr">
        <is>
          <t>2026-07-17T20:00:00</t>
        </is>
      </c>
      <c r="C38" s="24" t="inlineStr">
        <is>
          <t>SCOUT-PUJ</t>
        </is>
      </c>
      <c r="D38" s="24" t="inlineStr">
        <is>
          <t>CheapCaribbean</t>
        </is>
      </c>
      <c r="E38" s="24" t="inlineStr">
        <is>
          <t>Package</t>
        </is>
      </c>
      <c r="F38" s="24" t="inlineStr">
        <is>
          <t>Sunscape Coco - AI</t>
        </is>
      </c>
      <c r="G38" s="24" t="inlineStr">
        <is>
          <t>2026-08-08</t>
        </is>
      </c>
      <c r="H38" s="24" t="inlineStr">
        <is>
          <t>2026-08-15</t>
        </is>
      </c>
      <c r="I38" s="25" t="n">
        <v>2194</v>
      </c>
      <c r="J38" s="25" t="n">
        <v>1097</v>
      </c>
      <c r="K38" s="24" t="n"/>
      <c r="L38" s="24" t="inlineStr">
        <is>
          <t>$200 Jet Set July discount applied; hotel+flights+taxes from DTW</t>
        </is>
      </c>
      <c r="M38" s="24" t="inlineStr">
        <is>
          <t>4-star; 3708 reviews; 1.6mi from PUJ</t>
        </is>
      </c>
    </row>
    <row r="39">
      <c r="A39" s="24" t="n">
        <v>37</v>
      </c>
      <c r="B39" s="24" t="inlineStr">
        <is>
          <t>2026-07-17T20:00:00</t>
        </is>
      </c>
      <c r="C39" s="24" t="inlineStr">
        <is>
          <t>SCOUT-PUJ</t>
        </is>
      </c>
      <c r="D39" s="24" t="inlineStr">
        <is>
          <t>CheapCaribbean</t>
        </is>
      </c>
      <c r="E39" s="24" t="inlineStr">
        <is>
          <t>Package</t>
        </is>
      </c>
      <c r="F39" s="24" t="inlineStr">
        <is>
          <t>Catalonia Bavaro Beach Golf &amp; Casino - AI</t>
        </is>
      </c>
      <c r="G39" s="24" t="inlineStr">
        <is>
          <t>2026-08-08</t>
        </is>
      </c>
      <c r="H39" s="24" t="inlineStr">
        <is>
          <t>2026-08-15</t>
        </is>
      </c>
      <c r="I39" s="25" t="n">
        <v>2294</v>
      </c>
      <c r="J39" s="25" t="n">
        <v>1147</v>
      </c>
      <c r="K39" s="24" t="n"/>
      <c r="L39" s="24" t="inlineStr">
        <is>
          <t>$200 Jet Set July discount applied; hotel+flights+taxes from DTW</t>
        </is>
      </c>
      <c r="M39" s="24" t="inlineStr">
        <is>
          <t xml:space="preserve">4-star; 16247 reviews; </t>
        </is>
      </c>
    </row>
    <row r="40">
      <c r="A40" s="24" t="n">
        <v>38</v>
      </c>
      <c r="B40" s="24" t="inlineStr">
        <is>
          <t>2026-07-17T20:00:00</t>
        </is>
      </c>
      <c r="C40" s="24" t="inlineStr">
        <is>
          <t>SCOUT-PUJ</t>
        </is>
      </c>
      <c r="D40" s="24" t="inlineStr">
        <is>
          <t>CheapCaribbean</t>
        </is>
      </c>
      <c r="E40" s="24" t="inlineStr">
        <is>
          <t>Package</t>
        </is>
      </c>
      <c r="F40" s="24" t="inlineStr">
        <is>
          <t>Riu Palace Punta Cana - AI</t>
        </is>
      </c>
      <c r="G40" s="24" t="inlineStr">
        <is>
          <t>2026-08-08</t>
        </is>
      </c>
      <c r="H40" s="24" t="inlineStr">
        <is>
          <t>2026-08-15</t>
        </is>
      </c>
      <c r="I40" s="25" t="n">
        <v>2454</v>
      </c>
      <c r="J40" s="25" t="n">
        <v>1227</v>
      </c>
      <c r="K40" s="24" t="n"/>
      <c r="L40" s="24" t="inlineStr">
        <is>
          <t>$200 Jet Set July discount applied; hotel+flights+taxes from DTW</t>
        </is>
      </c>
      <c r="M40" s="24" t="inlineStr">
        <is>
          <t>5-star; 4067 reviews; Punta Cana beach</t>
        </is>
      </c>
    </row>
    <row r="41">
      <c r="A41" s="24" t="n">
        <v>39</v>
      </c>
      <c r="B41" s="24" t="inlineStr">
        <is>
          <t>2026-07-17T20:00:00</t>
        </is>
      </c>
      <c r="C41" s="24" t="inlineStr">
        <is>
          <t>SCOUT-PUJ</t>
        </is>
      </c>
      <c r="D41" s="24" t="inlineStr">
        <is>
          <t>CheapCaribbean</t>
        </is>
      </c>
      <c r="E41" s="24" t="inlineStr">
        <is>
          <t>Package</t>
        </is>
      </c>
      <c r="F41" s="24" t="inlineStr">
        <is>
          <t>Barcelo Bavaro Beach - AI - Adults Only</t>
        </is>
      </c>
      <c r="G41" s="24" t="inlineStr">
        <is>
          <t>2026-08-08</t>
        </is>
      </c>
      <c r="H41" s="24" t="inlineStr">
        <is>
          <t>2026-08-15</t>
        </is>
      </c>
      <c r="I41" s="25" t="n">
        <v>2460</v>
      </c>
      <c r="J41" s="25" t="n">
        <v>1230</v>
      </c>
      <c r="K41" s="24" t="n"/>
      <c r="L41" s="24" t="inlineStr">
        <is>
          <t>$200 Jet Set July discount applied; hotel+flights+taxes from DTW</t>
        </is>
      </c>
      <c r="M41" s="24" t="inlineStr">
        <is>
          <t>4-star; 16399 reviews; Bavaro beach; adults-only</t>
        </is>
      </c>
    </row>
    <row r="42">
      <c r="A42" s="24" t="n">
        <v>40</v>
      </c>
      <c r="B42" s="24" t="inlineStr">
        <is>
          <t>2026-07-17T20:00:00</t>
        </is>
      </c>
      <c r="C42" s="24" t="inlineStr">
        <is>
          <t>SCOUT-PUJ</t>
        </is>
      </c>
      <c r="D42" s="24" t="inlineStr">
        <is>
          <t>CheapCaribbean</t>
        </is>
      </c>
      <c r="E42" s="24" t="inlineStr">
        <is>
          <t>Package</t>
        </is>
      </c>
      <c r="F42" s="24" t="inlineStr">
        <is>
          <t>Barcelo Bavaro Palace - AI</t>
        </is>
      </c>
      <c r="G42" s="24" t="inlineStr">
        <is>
          <t>2026-08-08</t>
        </is>
      </c>
      <c r="H42" s="24" t="inlineStr">
        <is>
          <t>2026-08-15</t>
        </is>
      </c>
      <c r="I42" s="25" t="n">
        <v>2588</v>
      </c>
      <c r="J42" s="25" t="n">
        <v>1294</v>
      </c>
      <c r="K42" s="24" t="n"/>
      <c r="L42" s="24" t="inlineStr">
        <is>
          <t>$200 Jet Set July discount applied; hotel+flights+taxes from DTW</t>
        </is>
      </c>
      <c r="M42" s="24" t="inlineStr">
        <is>
          <t xml:space="preserve">4.5-star; 0 reviews; </t>
        </is>
      </c>
    </row>
    <row r="43">
      <c r="A43" s="24" t="n">
        <v>41</v>
      </c>
      <c r="B43" s="24" t="inlineStr">
        <is>
          <t>2026-07-17T20:00:00</t>
        </is>
      </c>
      <c r="C43" s="24" t="inlineStr">
        <is>
          <t>SCOUT-PUJ</t>
        </is>
      </c>
      <c r="D43" s="24" t="inlineStr">
        <is>
          <t>CheapCaribbean</t>
        </is>
      </c>
      <c r="E43" s="24" t="inlineStr">
        <is>
          <t>Package</t>
        </is>
      </c>
      <c r="F43" s="24" t="inlineStr">
        <is>
          <t>Riu Palace Macao - AI - Adults Only</t>
        </is>
      </c>
      <c r="G43" s="24" t="inlineStr">
        <is>
          <t>2026-08-08</t>
        </is>
      </c>
      <c r="H43" s="24" t="inlineStr">
        <is>
          <t>2026-08-15</t>
        </is>
      </c>
      <c r="I43" s="25" t="n">
        <v>2904</v>
      </c>
      <c r="J43" s="25" t="n">
        <v>1452</v>
      </c>
      <c r="K43" s="24" t="n"/>
      <c r="L43" s="24" t="inlineStr">
        <is>
          <t>$200 Jet Set July discount applied; hotel+flights+taxes from DTW</t>
        </is>
      </c>
      <c r="M43" s="24" t="inlineStr">
        <is>
          <t>5-star; 6928 reviews; Beachfront swim-up rooms; adults-only</t>
        </is>
      </c>
    </row>
    <row r="44">
      <c r="A44" s="24" t="n">
        <v>42</v>
      </c>
      <c r="B44" s="24" t="inlineStr">
        <is>
          <t>2026-07-17T20:00:00</t>
        </is>
      </c>
      <c r="C44" s="24" t="inlineStr">
        <is>
          <t>SCOUT-PUJ</t>
        </is>
      </c>
      <c r="D44" s="24" t="inlineStr">
        <is>
          <t>CheapCaribbean</t>
        </is>
      </c>
      <c r="E44" s="24" t="inlineStr">
        <is>
          <t>Package</t>
        </is>
      </c>
      <c r="F44" s="24" t="inlineStr">
        <is>
          <t>Secrets Royal Beach - AI - Adults Only</t>
        </is>
      </c>
      <c r="G44" s="24" t="inlineStr">
        <is>
          <t>2026-08-08</t>
        </is>
      </c>
      <c r="H44" s="24" t="inlineStr">
        <is>
          <t>2026-08-15</t>
        </is>
      </c>
      <c r="I44" s="25" t="n">
        <v>3146</v>
      </c>
      <c r="J44" s="25" t="n">
        <v>1573</v>
      </c>
      <c r="K44" s="24" t="n"/>
      <c r="L44" s="24" t="inlineStr">
        <is>
          <t>$200 Jet Set July discount applied; hotel+flights+taxes from DTW</t>
        </is>
      </c>
      <c r="M44" s="24" t="inlineStr">
        <is>
          <t>5-star; 23486 reviews; adults-only</t>
        </is>
      </c>
    </row>
    <row r="45">
      <c r="A45" s="24" t="n">
        <v>43</v>
      </c>
      <c r="B45" s="24" t="inlineStr">
        <is>
          <t>2026-07-17T20:00:00</t>
        </is>
      </c>
      <c r="C45" s="24" t="inlineStr">
        <is>
          <t>SCOUT-MBJ</t>
        </is>
      </c>
      <c r="D45" s="24" t="inlineStr">
        <is>
          <t>CheapCaribbean</t>
        </is>
      </c>
      <c r="E45" s="24" t="inlineStr">
        <is>
          <t>Package</t>
        </is>
      </c>
      <c r="F45" s="24" t="inlineStr">
        <is>
          <t>Riu Negril - AI</t>
        </is>
      </c>
      <c r="G45" s="24" t="inlineStr">
        <is>
          <t>2026-08-08</t>
        </is>
      </c>
      <c r="H45" s="24" t="inlineStr">
        <is>
          <t>2026-08-15</t>
        </is>
      </c>
      <c r="I45" s="25" t="n">
        <v>2906</v>
      </c>
      <c r="J45" s="25" t="n">
        <v>1453</v>
      </c>
      <c r="K45" s="24" t="n"/>
      <c r="L45" s="24" t="inlineStr">
        <is>
          <t>$200 Jet Set July discount applied; hotel+flights+taxes from DTW</t>
        </is>
      </c>
      <c r="M45" s="24" t="inlineStr">
        <is>
          <t>4-star; 9094 reviews; Negril beach (Seven Mile area)</t>
        </is>
      </c>
    </row>
    <row r="46">
      <c r="A46" s="24" t="n">
        <v>44</v>
      </c>
      <c r="B46" s="24" t="inlineStr">
        <is>
          <t>2026-07-17T20:00:00</t>
        </is>
      </c>
      <c r="C46" s="24" t="inlineStr">
        <is>
          <t>SCOUT-MBJ</t>
        </is>
      </c>
      <c r="D46" s="24" t="inlineStr">
        <is>
          <t>CheapCaribbean</t>
        </is>
      </c>
      <c r="E46" s="24" t="inlineStr">
        <is>
          <t>Package</t>
        </is>
      </c>
      <c r="F46" s="24" t="inlineStr">
        <is>
          <t>Riu Palace Tropical Bay - AI</t>
        </is>
      </c>
      <c r="G46" s="24" t="inlineStr">
        <is>
          <t>2026-08-08</t>
        </is>
      </c>
      <c r="H46" s="24" t="inlineStr">
        <is>
          <t>2026-08-15</t>
        </is>
      </c>
      <c r="I46" s="25" t="n">
        <v>3200</v>
      </c>
      <c r="J46" s="25" t="n">
        <v>1600</v>
      </c>
      <c r="K46" s="24" t="n"/>
      <c r="L46" s="24" t="inlineStr">
        <is>
          <t>$200 Jet Set July discount applied; hotel+flights+taxes from DTW</t>
        </is>
      </c>
      <c r="M46" s="24" t="inlineStr">
        <is>
          <t>4-star; 8686 reviews; Negril beach</t>
        </is>
      </c>
    </row>
    <row r="47">
      <c r="A47" s="24" t="n">
        <v>45</v>
      </c>
      <c r="B47" s="24" t="inlineStr">
        <is>
          <t>2026-07-17T20:00:00</t>
        </is>
      </c>
      <c r="C47" s="24" t="inlineStr">
        <is>
          <t>SCOUT-MBJ</t>
        </is>
      </c>
      <c r="D47" s="24" t="inlineStr">
        <is>
          <t>CheapCaribbean</t>
        </is>
      </c>
      <c r="E47" s="24" t="inlineStr">
        <is>
          <t>Package</t>
        </is>
      </c>
      <c r="F47" s="24" t="inlineStr">
        <is>
          <t>Bahia Principe Escape Runaway Bay - AI - Adults Only</t>
        </is>
      </c>
      <c r="G47" s="24" t="inlineStr">
        <is>
          <t>2026-08-08</t>
        </is>
      </c>
      <c r="H47" s="24" t="inlineStr">
        <is>
          <t>2026-08-15</t>
        </is>
      </c>
      <c r="I47" s="25" t="n">
        <v>3426</v>
      </c>
      <c r="J47" s="25" t="n">
        <v>1713</v>
      </c>
      <c r="K47" s="24" t="n"/>
      <c r="L47" s="24" t="inlineStr">
        <is>
          <t>$200 Jet Set July discount applied; hotel+flights+taxes from DTW</t>
        </is>
      </c>
      <c r="M47" s="24" t="inlineStr">
        <is>
          <t xml:space="preserve">4.5-star; 5888 reviews; </t>
        </is>
      </c>
    </row>
    <row r="48">
      <c r="A48" s="24" t="n">
        <v>46</v>
      </c>
      <c r="B48" s="24" t="inlineStr">
        <is>
          <t>2026-07-17T20:00:00</t>
        </is>
      </c>
      <c r="C48" s="24" t="inlineStr">
        <is>
          <t>SCOUT-MBJ</t>
        </is>
      </c>
      <c r="D48" s="24" t="inlineStr">
        <is>
          <t>CheapCaribbean</t>
        </is>
      </c>
      <c r="E48" s="24" t="inlineStr">
        <is>
          <t>Package</t>
        </is>
      </c>
      <c r="F48" s="24" t="inlineStr">
        <is>
          <t>Riu Reggae - AI - Adults Only</t>
        </is>
      </c>
      <c r="G48" s="24" t="inlineStr">
        <is>
          <t>2026-08-08</t>
        </is>
      </c>
      <c r="H48" s="24" t="inlineStr">
        <is>
          <t>2026-08-15</t>
        </is>
      </c>
      <c r="I48" s="25" t="n">
        <v>3482</v>
      </c>
      <c r="J48" s="25" t="n">
        <v>1741</v>
      </c>
      <c r="K48" s="24" t="n"/>
      <c r="L48" s="24" t="inlineStr">
        <is>
          <t>$200 Jet Set July discount applied; hotel+flights+taxes from DTW</t>
        </is>
      </c>
      <c r="M48" s="24" t="inlineStr">
        <is>
          <t>4-star; 4136 reviews; Montego Bay</t>
        </is>
      </c>
    </row>
    <row r="49">
      <c r="A49" s="24" t="n">
        <v>47</v>
      </c>
      <c r="B49" s="24" t="inlineStr">
        <is>
          <t>2026-07-17T20:00:00</t>
        </is>
      </c>
      <c r="C49" s="24" t="inlineStr">
        <is>
          <t>SCOUT-MBJ</t>
        </is>
      </c>
      <c r="D49" s="24" t="inlineStr">
        <is>
          <t>CheapCaribbean</t>
        </is>
      </c>
      <c r="E49" s="24" t="inlineStr">
        <is>
          <t>Package</t>
        </is>
      </c>
      <c r="F49" s="24" t="inlineStr">
        <is>
          <t>Riu Palace Jamaica - AI - Adults Only</t>
        </is>
      </c>
      <c r="G49" s="24" t="inlineStr">
        <is>
          <t>2026-08-08</t>
        </is>
      </c>
      <c r="H49" s="24" t="inlineStr">
        <is>
          <t>2026-08-15</t>
        </is>
      </c>
      <c r="I49" s="25" t="n">
        <v>4062</v>
      </c>
      <c r="J49" s="25" t="n">
        <v>2031</v>
      </c>
      <c r="K49" s="24" t="n"/>
      <c r="L49" s="24" t="inlineStr">
        <is>
          <t>$200 Jet Set July discount applied; hotel+flights+taxes from DTW</t>
        </is>
      </c>
      <c r="M49" s="24" t="inlineStr">
        <is>
          <t>5-star; 5078 reviews; Montego Bay beach</t>
        </is>
      </c>
    </row>
    <row r="50">
      <c r="A50" s="24" t="n">
        <v>48</v>
      </c>
      <c r="B50" s="24" t="inlineStr">
        <is>
          <t>2026-07-17T20:00:00</t>
        </is>
      </c>
      <c r="C50" s="24" t="inlineStr">
        <is>
          <t>SCOUT-NAS</t>
        </is>
      </c>
      <c r="D50" s="24" t="inlineStr">
        <is>
          <t>CheapCaribbean</t>
        </is>
      </c>
      <c r="E50" s="24" t="inlineStr">
        <is>
          <t>Package</t>
        </is>
      </c>
      <c r="F50" s="24" t="inlineStr">
        <is>
          <t>Breezes Bahamas - AI</t>
        </is>
      </c>
      <c r="G50" s="24" t="inlineStr">
        <is>
          <t>2026-08-08</t>
        </is>
      </c>
      <c r="H50" s="24" t="inlineStr">
        <is>
          <t>2026-08-15</t>
        </is>
      </c>
      <c r="I50" s="25" t="n">
        <v>3408</v>
      </c>
      <c r="J50" s="25" t="n">
        <v>1704</v>
      </c>
      <c r="K50" s="24" t="n"/>
      <c r="L50" s="24" t="inlineStr">
        <is>
          <t>$200 Jet Set July discount applied; hotel+flights+taxes from DTW</t>
        </is>
      </c>
      <c r="M50" s="24" t="inlineStr">
        <is>
          <t>3.5-star; 11151 reviews; Cable Beach Nassau</t>
        </is>
      </c>
    </row>
    <row r="51">
      <c r="A51" s="24" t="n">
        <v>49</v>
      </c>
      <c r="B51" s="24" t="inlineStr">
        <is>
          <t>2026-07-17T20:00:00</t>
        </is>
      </c>
      <c r="C51" s="24" t="inlineStr">
        <is>
          <t>SCOUT-NAS</t>
        </is>
      </c>
      <c r="D51" s="24" t="inlineStr">
        <is>
          <t>CheapCaribbean</t>
        </is>
      </c>
      <c r="E51" s="24" t="inlineStr">
        <is>
          <t>Package</t>
        </is>
      </c>
      <c r="F51" s="24" t="inlineStr">
        <is>
          <t>Riu Palace Paradise Island - AI - Adults Only</t>
        </is>
      </c>
      <c r="G51" s="24" t="inlineStr">
        <is>
          <t>2026-08-08</t>
        </is>
      </c>
      <c r="H51" s="24" t="inlineStr">
        <is>
          <t>2026-08-15</t>
        </is>
      </c>
      <c r="I51" s="25" t="n">
        <v>3716</v>
      </c>
      <c r="J51" s="25" t="n">
        <v>1858</v>
      </c>
      <c r="K51" s="24" t="n"/>
      <c r="L51" s="24" t="inlineStr">
        <is>
          <t>$200 Jet Set July discount applied; hotel+flights+taxes from DTW</t>
        </is>
      </c>
      <c r="M51" s="24" t="inlineStr">
        <is>
          <t>4.5-star; 2973 reviews; Paradise Island / Cabbage Beach; adults-only</t>
        </is>
      </c>
    </row>
    <row r="52">
      <c r="A52" s="24" t="n">
        <v>50</v>
      </c>
      <c r="B52" s="24" t="inlineStr">
        <is>
          <t>2026-07-17T20:00:00</t>
        </is>
      </c>
      <c r="C52" s="24" t="inlineStr">
        <is>
          <t>SCOUT-NAS</t>
        </is>
      </c>
      <c r="D52" s="24" t="inlineStr">
        <is>
          <t>CheapCaribbean</t>
        </is>
      </c>
      <c r="E52" s="24" t="inlineStr">
        <is>
          <t>Package</t>
        </is>
      </c>
      <c r="F52" s="24" t="inlineStr">
        <is>
          <t>Warwick Paradise Island - AI - Adults Only</t>
        </is>
      </c>
      <c r="G52" s="24" t="inlineStr">
        <is>
          <t>2026-08-08</t>
        </is>
      </c>
      <c r="H52" s="24" t="inlineStr">
        <is>
          <t>2026-08-15</t>
        </is>
      </c>
      <c r="I52" s="25" t="n">
        <v>3890</v>
      </c>
      <c r="J52" s="25" t="n">
        <v>1945</v>
      </c>
      <c r="K52" s="24" t="n"/>
      <c r="L52" s="24" t="inlineStr">
        <is>
          <t>$200 Jet Set July discount applied; hotel+flights+taxes from DTW</t>
        </is>
      </c>
      <c r="M52" s="24" t="inlineStr">
        <is>
          <t>4-star; 3188 reviews; Harbour beach; adults-only</t>
        </is>
      </c>
    </row>
    <row r="53">
      <c r="A53" s="24" t="n">
        <v>51</v>
      </c>
      <c r="B53" s="24" t="inlineStr">
        <is>
          <t>2026-07-17T20:00:00</t>
        </is>
      </c>
      <c r="C53" s="24" t="inlineStr">
        <is>
          <t>SCOUT-CUR</t>
        </is>
      </c>
      <c r="D53" s="24" t="inlineStr">
        <is>
          <t>CheapCaribbean</t>
        </is>
      </c>
      <c r="E53" s="24" t="inlineStr">
        <is>
          <t>Package</t>
        </is>
      </c>
      <c r="F53" s="24" t="inlineStr">
        <is>
          <t>Dreams Curacao Resort Spa &amp; Casino - AI</t>
        </is>
      </c>
      <c r="G53" s="24" t="inlineStr">
        <is>
          <t>2026-08-08</t>
        </is>
      </c>
      <c r="H53" s="24" t="inlineStr">
        <is>
          <t>2026-08-15</t>
        </is>
      </c>
      <c r="I53" s="25" t="n">
        <v>4632</v>
      </c>
      <c r="J53" s="25" t="n">
        <v>2316</v>
      </c>
      <c r="K53" s="24" t="n"/>
      <c r="L53" s="24" t="inlineStr">
        <is>
          <t>$200 Jet Set July discount applied; hotel+flights+taxes from DTW</t>
        </is>
      </c>
      <c r="M53" s="24" t="inlineStr">
        <is>
          <t xml:space="preserve">5-star; 2224 reviews; </t>
        </is>
      </c>
    </row>
    <row r="54">
      <c r="A54" s="24" t="n">
        <v>52</v>
      </c>
      <c r="B54" s="24" t="inlineStr">
        <is>
          <t>2026-07-17T20:00:00</t>
        </is>
      </c>
      <c r="C54" s="24" t="inlineStr">
        <is>
          <t>SCOUT-CUR</t>
        </is>
      </c>
      <c r="D54" s="24" t="inlineStr">
        <is>
          <t>CheapCaribbean</t>
        </is>
      </c>
      <c r="E54" s="24" t="inlineStr">
        <is>
          <t>Package</t>
        </is>
      </c>
      <c r="F54" s="24" t="inlineStr">
        <is>
          <t>Mangrove Beach Corendon Curio Hilton - AI</t>
        </is>
      </c>
      <c r="G54" s="24" t="inlineStr">
        <is>
          <t>2026-08-08</t>
        </is>
      </c>
      <c r="H54" s="24" t="inlineStr">
        <is>
          <t>2026-08-15</t>
        </is>
      </c>
      <c r="I54" s="25" t="n">
        <v>4778</v>
      </c>
      <c r="J54" s="25" t="n">
        <v>2389</v>
      </c>
      <c r="K54" s="24" t="n"/>
      <c r="L54" s="24" t="inlineStr">
        <is>
          <t>$200 Jet Set July discount applied; hotel+flights+taxes from DTW</t>
        </is>
      </c>
      <c r="M54" s="24" t="inlineStr">
        <is>
          <t xml:space="preserve">4-star; 1983 reviews; </t>
        </is>
      </c>
    </row>
    <row r="55">
      <c r="A55" s="24" t="n">
        <v>53</v>
      </c>
      <c r="B55" s="24" t="inlineStr">
        <is>
          <t>2026-07-17T20:00:00</t>
        </is>
      </c>
      <c r="C55" s="24" t="inlineStr">
        <is>
          <t>SCOUT-CUR</t>
        </is>
      </c>
      <c r="D55" s="24" t="inlineStr">
        <is>
          <t>CheapCaribbean</t>
        </is>
      </c>
      <c r="E55" s="24" t="inlineStr">
        <is>
          <t>Package</t>
        </is>
      </c>
      <c r="F55" s="24" t="inlineStr">
        <is>
          <t>Sunscape Curacao - AI</t>
        </is>
      </c>
      <c r="G55" s="24" t="inlineStr">
        <is>
          <t>2026-08-08</t>
        </is>
      </c>
      <c r="H55" s="24" t="inlineStr">
        <is>
          <t>2026-08-15</t>
        </is>
      </c>
      <c r="I55" s="25" t="n">
        <v>4996</v>
      </c>
      <c r="J55" s="25" t="n">
        <v>2498</v>
      </c>
      <c r="K55" s="24" t="n"/>
      <c r="L55" s="24" t="inlineStr">
        <is>
          <t>$200 Jet Set July discount applied; hotel+flights+taxes from DTW</t>
        </is>
      </c>
      <c r="M55" s="24" t="inlineStr">
        <is>
          <t xml:space="preserve">4-star; 10177 reviews; </t>
        </is>
      </c>
    </row>
    <row r="56">
      <c r="A56" s="24" t="n">
        <v>54</v>
      </c>
      <c r="B56" s="24" t="inlineStr">
        <is>
          <t>2026-07-17T20:30:00</t>
        </is>
      </c>
      <c r="C56" s="24" t="inlineStr">
        <is>
          <t>SCOUT-CUN</t>
        </is>
      </c>
      <c r="D56" s="24" t="inlineStr">
        <is>
          <t>CheapCaribbean</t>
        </is>
      </c>
      <c r="E56" s="24" t="inlineStr">
        <is>
          <t>Package</t>
        </is>
      </c>
      <c r="F56" s="24" t="inlineStr">
        <is>
          <t>Riu Latino - AI - Adults Only</t>
        </is>
      </c>
      <c r="G56" s="24" t="inlineStr">
        <is>
          <t>2026-08-09</t>
        </is>
      </c>
      <c r="H56" s="24" t="inlineStr">
        <is>
          <t>2026-08-16</t>
        </is>
      </c>
      <c r="I56" s="25" t="n">
        <v>2614</v>
      </c>
      <c r="J56" s="25" t="n">
        <v>1307</v>
      </c>
      <c r="K56" s="24" t="n"/>
      <c r="L56" s="24" t="inlineStr">
        <is>
          <t>$200 promo applied</t>
        </is>
      </c>
      <c r="M56" s="24" t="inlineStr">
        <is>
          <t>date-shift variant check; Aug 8 start remains cheapest</t>
        </is>
      </c>
    </row>
    <row r="57">
      <c r="A57" s="24" t="n">
        <v>55</v>
      </c>
      <c r="B57" s="24" t="inlineStr">
        <is>
          <t>2026-07-17T20:30:00</t>
        </is>
      </c>
      <c r="C57" s="24" t="inlineStr">
        <is>
          <t>SCOUT-CUN</t>
        </is>
      </c>
      <c r="D57" s="24" t="inlineStr">
        <is>
          <t>CheapCaribbean</t>
        </is>
      </c>
      <c r="E57" s="24" t="inlineStr">
        <is>
          <t>Package</t>
        </is>
      </c>
      <c r="F57" s="24" t="inlineStr">
        <is>
          <t>Secrets The Vine - AI - Adults Only</t>
        </is>
      </c>
      <c r="G57" s="24" t="inlineStr">
        <is>
          <t>2026-08-09</t>
        </is>
      </c>
      <c r="H57" s="24" t="inlineStr">
        <is>
          <t>2026-08-16</t>
        </is>
      </c>
      <c r="I57" s="25" t="n">
        <v>3122</v>
      </c>
      <c r="J57" s="25" t="n">
        <v>1561</v>
      </c>
      <c r="K57" s="24" t="n"/>
      <c r="L57" s="24" t="inlineStr">
        <is>
          <t>$200 promo applied</t>
        </is>
      </c>
      <c r="M57" s="24" t="inlineStr">
        <is>
          <t>date-shift variant check; Aug 8 start remains cheapest</t>
        </is>
      </c>
    </row>
    <row r="58">
      <c r="A58" s="24" t="n">
        <v>56</v>
      </c>
      <c r="B58" s="24" t="inlineStr">
        <is>
          <t>2026-07-17T20:30:00</t>
        </is>
      </c>
      <c r="C58" s="24" t="inlineStr">
        <is>
          <t>SCOUT-CUN</t>
        </is>
      </c>
      <c r="D58" s="24" t="inlineStr">
        <is>
          <t>CheapCaribbean</t>
        </is>
      </c>
      <c r="E58" s="24" t="inlineStr">
        <is>
          <t>Package</t>
        </is>
      </c>
      <c r="F58" s="24" t="inlineStr">
        <is>
          <t>Hotel Marina El Cid Spa &amp; Beach - AI</t>
        </is>
      </c>
      <c r="G58" s="24" t="inlineStr">
        <is>
          <t>2026-08-09</t>
        </is>
      </c>
      <c r="H58" s="24" t="inlineStr">
        <is>
          <t>2026-08-16</t>
        </is>
      </c>
      <c r="I58" s="25" t="n">
        <v>2514</v>
      </c>
      <c r="J58" s="25" t="n">
        <v>1257</v>
      </c>
      <c r="K58" s="24" t="n"/>
      <c r="L58" s="24" t="inlineStr">
        <is>
          <t>$200 promo applied</t>
        </is>
      </c>
      <c r="M58" s="24" t="inlineStr">
        <is>
          <t>date-shift variant check; Aug 8 start remains cheapest</t>
        </is>
      </c>
    </row>
    <row r="59">
      <c r="A59" s="24" t="n">
        <v>57</v>
      </c>
      <c r="B59" s="24" t="inlineStr">
        <is>
          <t>2026-07-17T20:30:00</t>
        </is>
      </c>
      <c r="C59" s="24" t="inlineStr">
        <is>
          <t>SCOUT-CUN</t>
        </is>
      </c>
      <c r="D59" s="24" t="inlineStr">
        <is>
          <t>CheapCaribbean</t>
        </is>
      </c>
      <c r="E59" s="24" t="inlineStr">
        <is>
          <t>Package</t>
        </is>
      </c>
      <c r="F59" s="24" t="inlineStr">
        <is>
          <t>Riu Latino - AI - Adults Only</t>
        </is>
      </c>
      <c r="G59" s="24" t="inlineStr">
        <is>
          <t>2026-08-10</t>
        </is>
      </c>
      <c r="H59" s="24" t="inlineStr">
        <is>
          <t>2026-08-17</t>
        </is>
      </c>
      <c r="I59" s="25" t="n">
        <v>2548</v>
      </c>
      <c r="J59" s="25" t="n">
        <v>1274</v>
      </c>
      <c r="K59" s="24" t="n"/>
      <c r="L59" s="24" t="inlineStr">
        <is>
          <t>$200 promo applied</t>
        </is>
      </c>
      <c r="M59" s="24" t="inlineStr">
        <is>
          <t>date-shift variant check; Aug 8 start remains cheapest</t>
        </is>
      </c>
    </row>
    <row r="60">
      <c r="A60" s="24" t="n">
        <v>58</v>
      </c>
      <c r="B60" s="24" t="inlineStr">
        <is>
          <t>2026-07-17T20:30:00</t>
        </is>
      </c>
      <c r="C60" s="24" t="inlineStr">
        <is>
          <t>SCOUT-CUN</t>
        </is>
      </c>
      <c r="D60" s="24" t="inlineStr">
        <is>
          <t>CheapCaribbean</t>
        </is>
      </c>
      <c r="E60" s="24" t="inlineStr">
        <is>
          <t>Package</t>
        </is>
      </c>
      <c r="F60" s="24" t="inlineStr">
        <is>
          <t>Secrets The Vine - AI - Adults Only</t>
        </is>
      </c>
      <c r="G60" s="24" t="inlineStr">
        <is>
          <t>2026-08-10</t>
        </is>
      </c>
      <c r="H60" s="24" t="inlineStr">
        <is>
          <t>2026-08-17</t>
        </is>
      </c>
      <c r="I60" s="25" t="n">
        <v>3000</v>
      </c>
      <c r="J60" s="25" t="n">
        <v>1500</v>
      </c>
      <c r="K60" s="24" t="n"/>
      <c r="L60" s="24" t="inlineStr">
        <is>
          <t>$200 promo applied</t>
        </is>
      </c>
      <c r="M60" s="24" t="inlineStr">
        <is>
          <t>date-shift variant check; Aug 8 start remains cheapest</t>
        </is>
      </c>
    </row>
    <row r="61">
      <c r="A61" s="24" t="n">
        <v>59</v>
      </c>
      <c r="B61" s="24" t="inlineStr">
        <is>
          <t>2026-07-17T20:30:00</t>
        </is>
      </c>
      <c r="C61" s="24" t="inlineStr">
        <is>
          <t>SCOUT-CUN</t>
        </is>
      </c>
      <c r="D61" s="24" t="inlineStr">
        <is>
          <t>CheapCaribbean</t>
        </is>
      </c>
      <c r="E61" s="24" t="inlineStr">
        <is>
          <t>Package</t>
        </is>
      </c>
      <c r="F61" s="24" t="inlineStr">
        <is>
          <t>Hotel Marina El Cid Spa &amp; Beach - AI</t>
        </is>
      </c>
      <c r="G61" s="24" t="inlineStr">
        <is>
          <t>2026-08-10</t>
        </is>
      </c>
      <c r="H61" s="24" t="inlineStr">
        <is>
          <t>2026-08-17</t>
        </is>
      </c>
      <c r="I61" s="25" t="n">
        <v>2470</v>
      </c>
      <c r="J61" s="25" t="n">
        <v>1235</v>
      </c>
      <c r="K61" s="24" t="n"/>
      <c r="L61" s="24" t="inlineStr">
        <is>
          <t>$200 promo applied</t>
        </is>
      </c>
      <c r="M61" s="24" t="inlineStr">
        <is>
          <t>date-shift variant check; Aug 8 start remains cheapest</t>
        </is>
      </c>
    </row>
    <row r="62">
      <c r="A62" s="24" t="n">
        <v>60</v>
      </c>
      <c r="B62" s="24" t="inlineStr">
        <is>
          <t>2026-07-17T20:30:00</t>
        </is>
      </c>
      <c r="C62" s="24" t="inlineStr">
        <is>
          <t>SCOUT-CUN</t>
        </is>
      </c>
      <c r="D62" s="24" t="inlineStr">
        <is>
          <t>CheapCaribbean</t>
        </is>
      </c>
      <c r="E62" s="24" t="inlineStr">
        <is>
          <t>Package</t>
        </is>
      </c>
      <c r="F62" s="24" t="inlineStr">
        <is>
          <t>Riu Latino - AI - Adults Only</t>
        </is>
      </c>
      <c r="G62" s="24" t="inlineStr">
        <is>
          <t>2026-08-11</t>
        </is>
      </c>
      <c r="H62" s="24" t="inlineStr">
        <is>
          <t>2026-08-18</t>
        </is>
      </c>
      <c r="I62" s="25" t="n">
        <v>2482</v>
      </c>
      <c r="J62" s="25" t="n">
        <v>1241</v>
      </c>
      <c r="K62" s="24" t="n"/>
      <c r="L62" s="24" t="inlineStr">
        <is>
          <t>$200 promo applied</t>
        </is>
      </c>
      <c r="M62" s="24" t="inlineStr">
        <is>
          <t>date-shift variant check; Aug 8 start remains cheapest</t>
        </is>
      </c>
    </row>
    <row r="63">
      <c r="A63" s="24" t="n">
        <v>61</v>
      </c>
      <c r="B63" s="24" t="inlineStr">
        <is>
          <t>2026-07-17T20:30:00</t>
        </is>
      </c>
      <c r="C63" s="24" t="inlineStr">
        <is>
          <t>SCOUT-CUN</t>
        </is>
      </c>
      <c r="D63" s="24" t="inlineStr">
        <is>
          <t>CheapCaribbean</t>
        </is>
      </c>
      <c r="E63" s="24" t="inlineStr">
        <is>
          <t>Package</t>
        </is>
      </c>
      <c r="F63" s="24" t="inlineStr">
        <is>
          <t>Secrets The Vine - AI - Adults Only</t>
        </is>
      </c>
      <c r="G63" s="24" t="inlineStr">
        <is>
          <t>2026-08-11</t>
        </is>
      </c>
      <c r="H63" s="24" t="inlineStr">
        <is>
          <t>2026-08-18</t>
        </is>
      </c>
      <c r="I63" s="25" t="n">
        <v>2944</v>
      </c>
      <c r="J63" s="25" t="n">
        <v>1472</v>
      </c>
      <c r="K63" s="24" t="n"/>
      <c r="L63" s="24" t="inlineStr">
        <is>
          <t>$200 promo applied</t>
        </is>
      </c>
      <c r="M63" s="24" t="inlineStr">
        <is>
          <t>date-shift variant check; Aug 8 start remains cheapest</t>
        </is>
      </c>
    </row>
    <row r="64">
      <c r="A64" s="24" t="n">
        <v>62</v>
      </c>
      <c r="B64" s="24" t="inlineStr">
        <is>
          <t>2026-07-17T20:30:00</t>
        </is>
      </c>
      <c r="C64" s="24" t="inlineStr">
        <is>
          <t>SCOUT-CUN</t>
        </is>
      </c>
      <c r="D64" s="24" t="inlineStr">
        <is>
          <t>CheapCaribbean</t>
        </is>
      </c>
      <c r="E64" s="24" t="inlineStr">
        <is>
          <t>Package</t>
        </is>
      </c>
      <c r="F64" s="24" t="inlineStr">
        <is>
          <t>Hotel Marina El Cid Spa &amp; Beach - AI</t>
        </is>
      </c>
      <c r="G64" s="24" t="inlineStr">
        <is>
          <t>2026-08-11</t>
        </is>
      </c>
      <c r="H64" s="24" t="inlineStr">
        <is>
          <t>2026-08-18</t>
        </is>
      </c>
      <c r="I64" s="25" t="n">
        <v>2426</v>
      </c>
      <c r="J64" s="25" t="n">
        <v>1213</v>
      </c>
      <c r="K64" s="24" t="n"/>
      <c r="L64" s="24" t="inlineStr">
        <is>
          <t>$200 promo applied</t>
        </is>
      </c>
      <c r="M64" s="24" t="inlineStr">
        <is>
          <t>date-shift variant check; Aug 8 start remains cheapest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2026-07-17T23:22:25Z</dcterms:created>
  <dcterms:modified xmlns:dcterms="http://purl.org/dc/terms/" xmlns:xsi="http://www.w3.org/2001/XMLSchema-instance" xsi:type="dcterms:W3CDTF">2026-07-17T23:22:25Z</dcterms:modified>
</cp:coreProperties>
</file>